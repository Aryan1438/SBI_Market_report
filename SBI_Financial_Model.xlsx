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29.xml" ContentType="application/vnd.openxmlformats-officedocument.drawingml.chart+xml"/>
  <Override PartName="/xl/charts/chart17.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venue Model" sheetId="3" state="visible" r:id="rId5"/>
    <sheet name="Income Statement" sheetId="4" state="visible" r:id="rId6"/>
    <sheet name="Balance Sheet" sheetId="5" state="visible" r:id="rId7"/>
    <sheet name="Cash Flow Statement" sheetId="6" state="visible" r:id="rId8"/>
    <sheet name="Scenarios" sheetId="7" state="visible" r:id="rId9"/>
    <sheet name="DCF Inputs" sheetId="8" state="visible" r:id="rId10"/>
    <sheet name="Valuation" sheetId="9" state="visible" r:id="rId11"/>
    <sheet name="Comparable Companies" sheetId="10" state="visible" r:id="rId12"/>
    <sheet name="Charts" sheetId="11" state="visible" r:id="rId13"/>
    <sheet name="Not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<sst xmlns="http://schemas.openxmlformats.org/spreadsheetml/2006/main" count="575" uniqueCount="482">
  <si>
    <t xml:space="preserve">STATE BANK OF INDIA</t>
  </si>
  <si>
    <t xml:space="preserve">NSE: SBIN  |  BSE: 500112  |  ISIN: INE062A01020</t>
  </si>
  <si>
    <t xml:space="preserve">INTEGRATED FINANCIAL MODEL</t>
  </si>
  <si>
    <t xml:space="preserve">Historical Financials (FY22A–FY26A) · Projections (FY27E–FY31E) · Valuation &amp; Scenario Analysis</t>
  </si>
  <si>
    <t xml:space="preserve">Initiating Coverage — Equity Research Workflow</t>
  </si>
  <si>
    <t xml:space="preserve">Prepared: September 27, 2026</t>
  </si>
  <si>
    <t xml:space="preserve">CONTENTS</t>
  </si>
  <si>
    <t xml:space="preserve">1.  Assumptions — key operating &amp; macro drivers (FY27E–FY31E)</t>
  </si>
  <si>
    <t xml:space="preserve">2.  Revenue Model — advances, deposits &amp; income build by segment and geography</t>
  </si>
  <si>
    <t xml:space="preserve">3.  Income Statement — full P&amp;L, FY22A–FY31E</t>
  </si>
  <si>
    <t xml:space="preserve">4.  Balance Sheet — full statement of assets &amp; liabilities, FY22A–FY31E</t>
  </si>
  <si>
    <t xml:space="preserve">5.  Cash Flow Statement — operating / investing / financing activities</t>
  </si>
  <si>
    <t xml:space="preserve">6.  Scenarios — Bull / Base / Bear case outputs</t>
  </si>
  <si>
    <t xml:space="preserve">7.  DCF Inputs — Excess Return Model, DDM &amp; warranted P/B valuation inputs</t>
  </si>
  <si>
    <t xml:space="preserve">8.  Valuation — DCF / Excess Return output (added in Task 3)</t>
  </si>
  <si>
    <t xml:space="preserve">9.  Comparable Companies — trading comps (added in Task 3)</t>
  </si>
  <si>
    <t xml:space="preserve">10. Charts — native Excel charts (added in Task 4)</t>
  </si>
  <si>
    <t xml:space="preserve">11. Notes — sources, conventions &amp; color-coding legend</t>
  </si>
  <si>
    <t xml:space="preserve">Color code:  Blue = hardcoded input   Black = formula   Green = link to another sheet</t>
  </si>
  <si>
    <t xml:space="preserve">ASSUMPTIONS</t>
  </si>
  <si>
    <t xml:space="preserve">State Bank of India — Key operating &amp; macro drivers. Blue cells are the only inputs to change.</t>
  </si>
  <si>
    <t xml:space="preserve">(₹ crore unless stated)</t>
  </si>
  <si>
    <t xml:space="preserve">FY22A</t>
  </si>
  <si>
    <t xml:space="preserve">FY23A</t>
  </si>
  <si>
    <t xml:space="preserve">FY24A</t>
  </si>
  <si>
    <t xml:space="preserve">FY25A</t>
  </si>
  <si>
    <t xml:space="preserve">FY26A</t>
  </si>
  <si>
    <t xml:space="preserve">FY27E</t>
  </si>
  <si>
    <t xml:space="preserve">FY28E</t>
  </si>
  <si>
    <t xml:space="preserve">FY29E</t>
  </si>
  <si>
    <t xml:space="preserve">FY30E</t>
  </si>
  <si>
    <t xml:space="preserve">FY31E</t>
  </si>
  <si>
    <t xml:space="preserve">GROWTH ASSUMPTIONS — ADVANCES &amp; DEPOSITS</t>
  </si>
  <si>
    <t xml:space="preserve">Domestic Retail Advances Growth %</t>
  </si>
  <si>
    <t xml:space="preserve">Domestic Agriculture Advances Growth %</t>
  </si>
  <si>
    <t xml:space="preserve">Domestic SME Advances Growth %</t>
  </si>
  <si>
    <t xml:space="preserve">Domestic Corporate Advances Growth %</t>
  </si>
  <si>
    <t xml:space="preserve">Foreign Office Advances Growth %</t>
  </si>
  <si>
    <t xml:space="preserve">Total Deposits Growth %</t>
  </si>
  <si>
    <t xml:space="preserve">CASA Ratio (% of total deposits)</t>
  </si>
  <si>
    <t xml:space="preserve">YIELD &amp; COST ASSUMPTIONS</t>
  </si>
  <si>
    <t xml:space="preserve">Yield on Domestic Advances %</t>
  </si>
  <si>
    <t xml:space="preserve">Yield on Foreign Office Advances %</t>
  </si>
  <si>
    <t xml:space="preserve">Yield on Investments (Treasury) %  [calibrated to tie NII to disclosed actuals]</t>
  </si>
  <si>
    <t xml:space="preserve">Cost of CASA Deposits %</t>
  </si>
  <si>
    <t xml:space="preserve">Cost of Term Deposits %</t>
  </si>
  <si>
    <t xml:space="preserve">Cost of Borrowings %</t>
  </si>
  <si>
    <t xml:space="preserve">FEE &amp; OTHER INCOME ASSUMPTIONS</t>
  </si>
  <si>
    <t xml:space="preserve">Fee &amp; Commission Income Growth %</t>
  </si>
  <si>
    <t xml:space="preserve">Treasury / Trading Gains Growth %</t>
  </si>
  <si>
    <t xml:space="preserve">Forex Income Growth %</t>
  </si>
  <si>
    <t xml:space="preserve">Dividend from Subsidiaries Growth %</t>
  </si>
  <si>
    <t xml:space="preserve">One-off / Exceptional Non-Interest Income (Yes Bank &amp; Jio Payments Bank stake sale gains, FY26 only)</t>
  </si>
  <si>
    <t xml:space="preserve">OPERATING COST ASSUMPTIONS</t>
  </si>
  <si>
    <t xml:space="preserve">Employee Cost Growth %</t>
  </si>
  <si>
    <t xml:space="preserve">Other Operating Expenses Growth % (rent, D&amp;A, admin, tech)</t>
  </si>
  <si>
    <t xml:space="preserve">ASSET QUALITY &amp; CAPITAL ASSUMPTIONS</t>
  </si>
  <si>
    <t xml:space="preserve">Credit Cost % (loan loss provisions / avg. gross advances)</t>
  </si>
  <si>
    <t xml:space="preserve">Gross NPA Ratio % (guided)</t>
  </si>
  <si>
    <t xml:space="preserve">Net NPA Ratio % (guided)</t>
  </si>
  <si>
    <t xml:space="preserve">Provision Coverage Ratio %</t>
  </si>
  <si>
    <t xml:space="preserve">Capital Adequacy Ratio (CAR) target %</t>
  </si>
  <si>
    <t xml:space="preserve">TAX &amp; CAPITAL RETURN ASSUMPTIONS</t>
  </si>
  <si>
    <t xml:space="preserve">Effective Tax Rate %</t>
  </si>
  <si>
    <t xml:space="preserve">Dividend Payout Ratio %</t>
  </si>
  <si>
    <t xml:space="preserve">Basic Shares Outstanding growth % (dilution)</t>
  </si>
  <si>
    <t xml:space="preserve">REVENUE MODEL</t>
  </si>
  <si>
    <t xml:space="preserve">State Bank of India — Advances, deposits &amp; income build by segment and geography</t>
  </si>
  <si>
    <t xml:space="preserve">A. DOMESTIC ADVANCES &amp; INTEREST INCOME BY SEGMENT</t>
  </si>
  <si>
    <t xml:space="preserve">Retail Advances</t>
  </si>
  <si>
    <t xml:space="preserve">Home Loans — Balance</t>
  </si>
  <si>
    <t xml:space="preserve">Auto Loans — Balance</t>
  </si>
  <si>
    <t xml:space="preserve">Other Retail (Personal / Gold / Education) — Balance</t>
  </si>
  <si>
    <t xml:space="preserve">Total Retail Advances</t>
  </si>
  <si>
    <t xml:space="preserve">Retail Advances YoY Growth %</t>
  </si>
  <si>
    <t xml:space="preserve">n/a</t>
  </si>
  <si>
    <t xml:space="preserve">Retail Interest Income (avg. blended yield, via Domestic Yield)</t>
  </si>
  <si>
    <t xml:space="preserve">Agriculture Advances</t>
  </si>
  <si>
    <t xml:space="preserve">Agriculture &amp; Allied Activities — Balance</t>
  </si>
  <si>
    <t xml:space="preserve">Agriculture Interest Income</t>
  </si>
  <si>
    <t xml:space="preserve">SME Advances</t>
  </si>
  <si>
    <t xml:space="preserve">Small &amp; Medium Enterprises — Balance</t>
  </si>
  <si>
    <t xml:space="preserve">SME Interest Income</t>
  </si>
  <si>
    <t xml:space="preserve">Corporate Advances</t>
  </si>
  <si>
    <t xml:space="preserve">Large Corporate &amp; Commercial — Balance</t>
  </si>
  <si>
    <t xml:space="preserve">Corporate Interest Income</t>
  </si>
  <si>
    <t xml:space="preserve">TOTAL DOMESTIC ADVANCES</t>
  </si>
  <si>
    <t xml:space="preserve">Domestic Advances YoY Growth %</t>
  </si>
  <si>
    <t xml:space="preserve">Total Domestic Interest Income on Advances</t>
  </si>
  <si>
    <t xml:space="preserve">B. INTERNATIONAL (FOREIGN OFFICE) ADVANCES</t>
  </si>
  <si>
    <t xml:space="preserve">Foreign Office Advances — Balance</t>
  </si>
  <si>
    <t xml:space="preserve">Foreign Office Interest Income</t>
  </si>
  <si>
    <t xml:space="preserve">TOTAL GROSS ADVANCES (WHOLE BANK)</t>
  </si>
  <si>
    <t xml:space="preserve">Total Advances YoY Growth %</t>
  </si>
  <si>
    <t xml:space="preserve">Blended Yield on Advances % (memo)</t>
  </si>
  <si>
    <t xml:space="preserve">TOTAL INTEREST INCOME ON ADVANCES</t>
  </si>
  <si>
    <t xml:space="preserve">C. INVESTMENTS &amp; OTHER INTEREST INCOME</t>
  </si>
  <si>
    <t xml:space="preserve">Investment Book (SLR + Non-SLR) — Balance</t>
  </si>
  <si>
    <t xml:space="preserve">Interest Income on Investments</t>
  </si>
  <si>
    <t xml:space="preserve">Interest on Balances with RBI / Other Banks</t>
  </si>
  <si>
    <t xml:space="preserve">TOTAL INTEREST INCOME</t>
  </si>
  <si>
    <t xml:space="preserve">D. DEPOSITS &amp; INTEREST EXPENSE</t>
  </si>
  <si>
    <t xml:space="preserve">Total Deposits — Balance</t>
  </si>
  <si>
    <t xml:space="preserve">Total Deposits YoY Growth %</t>
  </si>
  <si>
    <t xml:space="preserve">CASA Deposits — Balance</t>
  </si>
  <si>
    <t xml:space="preserve">Term Deposits — Balance</t>
  </si>
  <si>
    <t xml:space="preserve">CASA Ratio % (memo, ties to Assumptions)</t>
  </si>
  <si>
    <t xml:space="preserve">CASA Interest Expense</t>
  </si>
  <si>
    <t xml:space="preserve">Term Deposit Interest Expense</t>
  </si>
  <si>
    <t xml:space="preserve">Total Interest Expense on Deposits</t>
  </si>
  <si>
    <t xml:space="preserve">Interest Expense on Borrowings</t>
  </si>
  <si>
    <t xml:space="preserve">Borrowings Interest Expense</t>
  </si>
  <si>
    <t xml:space="preserve">TOTAL INTEREST EXPENSE</t>
  </si>
  <si>
    <t xml:space="preserve">NET INTEREST INCOME (NII)</t>
  </si>
  <si>
    <t xml:space="preserve">NII YoY Growth %</t>
  </si>
  <si>
    <t xml:space="preserve">Domestic Net Interest Margin % (memo, NII / avg. domestic advances)</t>
  </si>
  <si>
    <t xml:space="preserve">E. NON-INTEREST INCOME</t>
  </si>
  <si>
    <t xml:space="preserve">Fee, Commission &amp; Brokerage Income</t>
  </si>
  <si>
    <t xml:space="preserve">Fee Income YoY Growth %</t>
  </si>
  <si>
    <t xml:space="preserve">Treasury / Trading Gains</t>
  </si>
  <si>
    <t xml:space="preserve">Forex Income</t>
  </si>
  <si>
    <t xml:space="preserve">Dividend Income from Subsidiaries</t>
  </si>
  <si>
    <t xml:space="preserve">Recovery from Written-off Accounts</t>
  </si>
  <si>
    <t xml:space="preserve">Other Miscellaneous Income</t>
  </si>
  <si>
    <t xml:space="preserve">One-off / Exceptional Items (Yes Bank &amp; Jio Payments Bank stake sale, FY26)</t>
  </si>
  <si>
    <t xml:space="preserve">TOTAL NON-INTEREST INCOME</t>
  </si>
  <si>
    <t xml:space="preserve">TOTAL NET REVENUE (NII + Non-Interest Income)</t>
  </si>
  <si>
    <t xml:space="preserve">Total Net Revenue YoY Growth %</t>
  </si>
  <si>
    <t xml:space="preserve">F. MIX BY GEOGRAPHY (DOMESTIC vs. INTERNATIONAL)</t>
  </si>
  <si>
    <t xml:space="preserve">Domestic</t>
  </si>
  <si>
    <t xml:space="preserve">Domestic Advances</t>
  </si>
  <si>
    <t xml:space="preserve">% of Total Advances</t>
  </si>
  <si>
    <t xml:space="preserve">Domestic Interest Income</t>
  </si>
  <si>
    <t xml:space="preserve">International (Foreign Offices)</t>
  </si>
  <si>
    <t xml:space="preserve">International Advances</t>
  </si>
  <si>
    <t xml:space="preserve">International Advances YoY Growth %</t>
  </si>
  <si>
    <t xml:space="preserve">International Interest Income</t>
  </si>
  <si>
    <t xml:space="preserve">TOTAL ADVANCES (tie-out check)</t>
  </si>
  <si>
    <t xml:space="preserve">INCOME STATEMENT</t>
  </si>
  <si>
    <t xml:space="preserve">State Bank of India — Standalone P&amp;L, FY22A–FY31E</t>
  </si>
  <si>
    <t xml:space="preserve">INTEREST INCOME</t>
  </si>
  <si>
    <t xml:space="preserve">Interest on Advances</t>
  </si>
  <si>
    <t xml:space="preserve">Interest on Investments</t>
  </si>
  <si>
    <t xml:space="preserve">Other Interest Income</t>
  </si>
  <si>
    <t xml:space="preserve">INTEREST EXPENSE</t>
  </si>
  <si>
    <t xml:space="preserve">Interest on Deposits</t>
  </si>
  <si>
    <t xml:space="preserve">Interest on Borrowings</t>
  </si>
  <si>
    <t xml:space="preserve">NII Growth % YoY</t>
  </si>
  <si>
    <t xml:space="preserve">Net Interest Margin % — Domestic (memo)</t>
  </si>
  <si>
    <t xml:space="preserve">NON-INTEREST INCOME</t>
  </si>
  <si>
    <t xml:space="preserve">Fee &amp; Commission Income</t>
  </si>
  <si>
    <t xml:space="preserve">Dividend from Subsidiaries</t>
  </si>
  <si>
    <t xml:space="preserve">Other Income</t>
  </si>
  <si>
    <t xml:space="preserve">One-off / Exceptional Items (FY26)</t>
  </si>
  <si>
    <t xml:space="preserve">TOTAL NET REVENUE</t>
  </si>
  <si>
    <t xml:space="preserve">Total Net Revenue Growth % YoY</t>
  </si>
  <si>
    <t xml:space="preserve">OPERATING EXPENSES</t>
  </si>
  <si>
    <t xml:space="preserve">Employee Cost</t>
  </si>
  <si>
    <t xml:space="preserve">Rent, Taxes &amp; Lighting</t>
  </si>
  <si>
    <t xml:space="preserve">Depreciation</t>
  </si>
  <si>
    <t xml:space="preserve">Printing, Stationery &amp; Admin Expenses</t>
  </si>
  <si>
    <t xml:space="preserve">Other Operating Expenses (incl. technology)</t>
  </si>
  <si>
    <t xml:space="preserve">TOTAL OPERATING EXPENSES</t>
  </si>
  <si>
    <t xml:space="preserve">Cost-to-Income Ratio %</t>
  </si>
  <si>
    <t xml:space="preserve">OPERATING PROFIT (Pre-Provision Operating Profit)</t>
  </si>
  <si>
    <t xml:space="preserve">PPOP Margin % (of Total Net Revenue)</t>
  </si>
  <si>
    <t xml:space="preserve">PROVISIONS &amp; CONTINGENCIES</t>
  </si>
  <si>
    <t xml:space="preserve">Loan Loss Provisions (Credit Cost)</t>
  </si>
  <si>
    <t xml:space="preserve">Provision for Standard Assets</t>
  </si>
  <si>
    <t xml:space="preserve">Provision for Investments (Depreciation)</t>
  </si>
  <si>
    <t xml:space="preserve">Other Provisions</t>
  </si>
  <si>
    <t xml:space="preserve">TOTAL PROVISIONS</t>
  </si>
  <si>
    <t xml:space="preserve">Credit Cost % (Loan Loss Provisions / Gross Advances, memo)</t>
  </si>
  <si>
    <t xml:space="preserve">PROFIT BEFORE TAX (PBT)</t>
  </si>
  <si>
    <t xml:space="preserve">Tax Expense</t>
  </si>
  <si>
    <t xml:space="preserve">NET PROFIT (PAT)</t>
  </si>
  <si>
    <t xml:space="preserve">Net Profit Growth % YoY</t>
  </si>
  <si>
    <t xml:space="preserve">Net Margin % (PAT / Total Net Revenue)</t>
  </si>
  <si>
    <t xml:space="preserve">PER SHARE DATA &amp; KEY RATIOS</t>
  </si>
  <si>
    <t xml:space="preserve">Basic Shares Outstanding (crore)</t>
  </si>
  <si>
    <t xml:space="preserve">Diluted Shares Outstanding (crore)</t>
  </si>
  <si>
    <t xml:space="preserve">Basic EPS (₹)</t>
  </si>
  <si>
    <t xml:space="preserve">Diluted EPS (₹)</t>
  </si>
  <si>
    <t xml:space="preserve">Dividend Per Share (₹)</t>
  </si>
  <si>
    <t xml:space="preserve">Return on Assets (ROA) %</t>
  </si>
  <si>
    <t xml:space="preserve">Return on Equity (ROE) %</t>
  </si>
  <si>
    <t xml:space="preserve">Book Value per Share (₹) (memo, linked from Balance Sheet)</t>
  </si>
  <si>
    <t xml:space="preserve">BALANCE SHEET</t>
  </si>
  <si>
    <t xml:space="preserve">State Bank of India — Standalone statement of assets &amp; liabilities, FY22A–FY31E</t>
  </si>
  <si>
    <t xml:space="preserve">LIABILITIES</t>
  </si>
  <si>
    <t xml:space="preserve">Shareholders' Equity</t>
  </si>
  <si>
    <t xml:space="preserve">Equity Share Capital</t>
  </si>
  <si>
    <t xml:space="preserve">Reserves &amp; Surplus</t>
  </si>
  <si>
    <t xml:space="preserve">TOTAL SHAREHOLDERS' EQUITY</t>
  </si>
  <si>
    <t xml:space="preserve">Book Value per Share (₹) (memo)</t>
  </si>
  <si>
    <t xml:space="preserve">Deposits</t>
  </si>
  <si>
    <t xml:space="preserve">Current Account Deposits</t>
  </si>
  <si>
    <t xml:space="preserve">Savings Account Deposits</t>
  </si>
  <si>
    <t xml:space="preserve">Term Deposits</t>
  </si>
  <si>
    <t xml:space="preserve">TOTAL DEPOSITS</t>
  </si>
  <si>
    <t xml:space="preserve">CASA Ratio % (memo)</t>
  </si>
  <si>
    <t xml:space="preserve">Deposits YoY Growth %</t>
  </si>
  <si>
    <t xml:space="preserve">Borrowings</t>
  </si>
  <si>
    <t xml:space="preserve">Domestic Borrowings</t>
  </si>
  <si>
    <t xml:space="preserve">Foreign Currency Borrowings / AT1 &amp; Tier-2 Bonds</t>
  </si>
  <si>
    <t xml:space="preserve">TOTAL BORROWINGS</t>
  </si>
  <si>
    <t xml:space="preserve">Other Liabilities &amp; Provisions</t>
  </si>
  <si>
    <t xml:space="preserve">TOTAL LIABILITIES</t>
  </si>
  <si>
    <t xml:space="preserve">ASSETS</t>
  </si>
  <si>
    <t xml:space="preserve">Cash &amp; Balances with RBI</t>
  </si>
  <si>
    <t xml:space="preserve">Balances with Banks &amp; Money at Call</t>
  </si>
  <si>
    <t xml:space="preserve">Investments</t>
  </si>
  <si>
    <t xml:space="preserve">Government Securities (SLR)</t>
  </si>
  <si>
    <t xml:space="preserve">Other Investments (Non-SLR)</t>
  </si>
  <si>
    <t xml:space="preserve">TOTAL INVESTMENTS</t>
  </si>
  <si>
    <t xml:space="preserve">Advances</t>
  </si>
  <si>
    <t xml:space="preserve">Gross Advances</t>
  </si>
  <si>
    <t xml:space="preserve">Gross NPA (₹ cr)</t>
  </si>
  <si>
    <t xml:space="preserve">Less: Cumulative Provision for NPA</t>
  </si>
  <si>
    <t xml:space="preserve">NET ADVANCES</t>
  </si>
  <si>
    <t xml:space="preserve">Gross NPA Ratio % (memo)</t>
  </si>
  <si>
    <t xml:space="preserve">Net NPA Ratio % (memo)</t>
  </si>
  <si>
    <t xml:space="preserve">Provision Coverage Ratio % (memo)</t>
  </si>
  <si>
    <t xml:space="preserve">Fixed Assets (Net)</t>
  </si>
  <si>
    <t xml:space="preserve">Other Assets (balancing item — see Notes)</t>
  </si>
  <si>
    <t xml:space="preserve">TOTAL ASSETS</t>
  </si>
  <si>
    <t xml:space="preserve">BALANCE CHECK  (Total Assets − Total Liabilities; must equal zero)</t>
  </si>
  <si>
    <t xml:space="preserve">CAPITAL ADEQUACY (MEMO)</t>
  </si>
  <si>
    <t xml:space="preserve">Risk-Weighted Assets (RWA)</t>
  </si>
  <si>
    <t xml:space="preserve">CET1 Ratio %</t>
  </si>
  <si>
    <t xml:space="preserve">Tier 1 Capital Ratio %</t>
  </si>
  <si>
    <t xml:space="preserve">Total Capital Adequacy Ratio (CAR) % (guided, Assumptions)</t>
  </si>
  <si>
    <t xml:space="preserve">CASH FLOW STATEMENT</t>
  </si>
  <si>
    <t xml:space="preserve">State Bank of India — Indirect method, adapted for a bank's balance-sheet structure</t>
  </si>
  <si>
    <t xml:space="preserve">CASH FLOW FROM OPERATING ACTIVITIES</t>
  </si>
  <si>
    <t xml:space="preserve">Net Profit Before Tax</t>
  </si>
  <si>
    <t xml:space="preserve">Add: Depreciation</t>
  </si>
  <si>
    <t xml:space="preserve">Add: Provisions &amp; Contingencies (total)</t>
  </si>
  <si>
    <t xml:space="preserve">Operating Profit before Working Capital Changes</t>
  </si>
  <si>
    <t xml:space="preserve">Adjustments for Working Capital</t>
  </si>
  <si>
    <t xml:space="preserve">(Increase) / Decrease in Investments</t>
  </si>
  <si>
    <t xml:space="preserve">(Increase) / Decrease in Advances</t>
  </si>
  <si>
    <t xml:space="preserve">Increase / (Decrease) in Deposits</t>
  </si>
  <si>
    <t xml:space="preserve">Increase / (Decrease) in Other Liabilities (net of other assets)</t>
  </si>
  <si>
    <t xml:space="preserve">Cash Generated from Operations</t>
  </si>
  <si>
    <t xml:space="preserve">Less: Direct Taxes Paid</t>
  </si>
  <si>
    <t xml:space="preserve">NET CASH FROM OPERATING ACTIVITIES</t>
  </si>
  <si>
    <t xml:space="preserve">CASH FLOW FROM INVESTING ACTIVITIES</t>
  </si>
  <si>
    <t xml:space="preserve">Purchase of Fixed Assets (capex)</t>
  </si>
  <si>
    <t xml:space="preserve">Investment in Subsidiaries / Associates</t>
  </si>
  <si>
    <t xml:space="preserve">NET CASH FROM INVESTING ACTIVITIES</t>
  </si>
  <si>
    <t xml:space="preserve">CASH FLOW FROM FINANCING ACTIVITIES</t>
  </si>
  <si>
    <t xml:space="preserve">Proceeds from Equity / QIP Issuance</t>
  </si>
  <si>
    <t xml:space="preserve">Proceeds / (Repayment) of Borrowings</t>
  </si>
  <si>
    <t xml:space="preserve">Dividends Paid</t>
  </si>
  <si>
    <t xml:space="preserve">NET CASH FROM FINANCING ACTIVITIES</t>
  </si>
  <si>
    <t xml:space="preserve">NET INCREASE / (DECREASE) IN CASH</t>
  </si>
  <si>
    <t xml:space="preserve">Add: Opening Cash &amp; Cash Equivalents</t>
  </si>
  <si>
    <t xml:space="preserve">CLOSING CASH &amp; CASH EQUIVALENTS</t>
  </si>
  <si>
    <t xml:space="preserve">Check: Closing Cash per Balance Sheet (Cash w/ RBI + Balances w/ Banks)</t>
  </si>
  <si>
    <t xml:space="preserve">SCENARIOS — BULL / BASE / BEAR</t>
  </si>
  <si>
    <t xml:space="preserve">Self-contained 5-year sensitivity to FY31E (simplified single-driver approximation — see Notes). Base case here is illustrative; the primary Base-case forecast is the full build in Income Statement / Balance Sheet.</t>
  </si>
  <si>
    <t xml:space="preserve">Bull</t>
  </si>
  <si>
    <t xml:space="preserve">Base</t>
  </si>
  <si>
    <t xml:space="preserve">Bear</t>
  </si>
  <si>
    <t xml:space="preserve">KEY ASSUMPTIONS — FY27E–FY31E (5-YEAR AVERAGE / TERMINAL)</t>
  </si>
  <si>
    <t xml:space="preserve">Gross Advances CAGR, FY26A–FY31E</t>
  </si>
  <si>
    <t xml:space="preserve">Domestic Net Interest Margin, FY31E</t>
  </si>
  <si>
    <t xml:space="preserve">Non-Interest Income CAGR, FY26A–FY31E</t>
  </si>
  <si>
    <t xml:space="preserve">Cost-to-Income Ratio, FY31E</t>
  </si>
  <si>
    <t xml:space="preserve">Credit Cost, FY31E (% of gross advances)</t>
  </si>
  <si>
    <t xml:space="preserve">Effective Tax Rate</t>
  </si>
  <si>
    <t xml:space="preserve">COMPUTED OUTPUTS — FY31E (self-contained 5-yr compound off FY26A base)</t>
  </si>
  <si>
    <t xml:space="preserve">FY31E Gross Advances (₹ cr)</t>
  </si>
  <si>
    <t xml:space="preserve">FY31E Net Interest Income (₹ cr)</t>
  </si>
  <si>
    <t xml:space="preserve">FY31E Non-Interest Income (₹ cr)</t>
  </si>
  <si>
    <t xml:space="preserve">FY31E Total Net Revenue (₹ cr)</t>
  </si>
  <si>
    <t xml:space="preserve">FY31E Operating Expenses (₹ cr)</t>
  </si>
  <si>
    <t xml:space="preserve">FY31E Operating Profit (PPOP, ₹ cr)</t>
  </si>
  <si>
    <t xml:space="preserve">FY31E Provisions (₹ cr)</t>
  </si>
  <si>
    <t xml:space="preserve">FY31E Profit Before Tax (₹ cr)</t>
  </si>
  <si>
    <t xml:space="preserve">FY31E Tax (₹ cr)</t>
  </si>
  <si>
    <t xml:space="preserve">FY31E NET PROFIT (₹ cr)</t>
  </si>
  <si>
    <t xml:space="preserve">FY31E EPS (₹) (shares per Income Statement, Base case)</t>
  </si>
  <si>
    <t xml:space="preserve">FY31E Net Profit CAGR, FY26A–FY31E</t>
  </si>
  <si>
    <t xml:space="preserve">FY31E Return on Equity (approx., vs. Base-case FY31E book equity)</t>
  </si>
  <si>
    <t xml:space="preserve">DCF INPUTS</t>
  </si>
  <si>
    <t xml:space="preserve">State Bank of India — Inputs for Task 3 valuation (Excess Return Model, DDM &amp; warranted P/B)</t>
  </si>
  <si>
    <t xml:space="preserve">A. FCFE PROXY (BANK-APPROPRIATE ADAPTATION)</t>
  </si>
  <si>
    <t xml:space="preserve">Net Profit (PAT)</t>
  </si>
  <si>
    <t xml:space="preserve">Increase in RWA YoY</t>
  </si>
  <si>
    <t xml:space="preserve">Target CET1 Ratio (capital retained per unit of RWA growth)</t>
  </si>
  <si>
    <t xml:space="preserve">Less: Capital Retained to Support RWA Growth</t>
  </si>
  <si>
    <t xml:space="preserve">DISTRIBUTABLE CASH FLOW TO EQUITY (FCFE proxy)</t>
  </si>
  <si>
    <t xml:space="preserve">B. DIVIDEND DISCOUNT MODEL (DDM) INPUTS</t>
  </si>
  <si>
    <t xml:space="preserve">Dividend per Share (₹)</t>
  </si>
  <si>
    <t xml:space="preserve">Book Value per Share (₹)</t>
  </si>
  <si>
    <t xml:space="preserve">Return on Equity (%)</t>
  </si>
  <si>
    <t xml:space="preserve">C. VALUATION SCALAR INPUTS (COST OF EQUITY &amp; TERMINAL GROWTH)</t>
  </si>
  <si>
    <t xml:space="preserve">Risk-Free Rate (10Y India G-Sec)</t>
  </si>
  <si>
    <t xml:space="preserve">Equity Risk Premium (India)</t>
  </si>
  <si>
    <t xml:space="preserve">Beta (vs. NIFTY 50, 3yr)</t>
  </si>
  <si>
    <t xml:space="preserve">Cost of Equity (Ke) = Rf + Beta × ERP</t>
  </si>
  <si>
    <t xml:space="preserve">FY31E Explicit-Forecast ROE (memo, for reference only)</t>
  </si>
  <si>
    <t xml:space="preserve">Retention Ratio (1 − Dividend Payout, memo)</t>
  </si>
  <si>
    <t xml:space="preserve">Terminal Sustainable ROE (normalized, below explicit-period ROE — input)</t>
  </si>
  <si>
    <t xml:space="preserve">Terminal Growth Rate (g) — capped near long-run nominal GDP growth (input)</t>
  </si>
  <si>
    <t xml:space="preserve">Check: Ke − g must be positive for the model to be valid</t>
  </si>
  <si>
    <t xml:space="preserve">D. WARRANTED (JUSTIFIED) PRICE-TO-BOOK &amp; FAIR VALUE</t>
  </si>
  <si>
    <t xml:space="preserve">Warranted P/B = (ROE − g) / (Ke − g)</t>
  </si>
  <si>
    <t xml:space="preserve">FY27E Book Value per Share (₹) (roll-forward anchor)</t>
  </si>
  <si>
    <t xml:space="preserve">Implied Fair Value per Share (₹) = Warranted P/B × FY27E BVPS</t>
  </si>
  <si>
    <t xml:space="preserve">Current Share Price (₹, 25-Sep-2026)</t>
  </si>
  <si>
    <t xml:space="preserve">Implied Upside / (Downside) %</t>
  </si>
  <si>
    <t xml:space="preserve">VALUATION SUMMARY — STATE BANK OF INDIA</t>
  </si>
  <si>
    <t xml:space="preserve">Excess Return / Warranted P/B (DCF Inputs tab) blended with trading comparables; football-field &amp; price target.</t>
  </si>
  <si>
    <t xml:space="preserve">A. EXCESS RETURN / WARRANTED P/B VALUATION (from DCF Inputs)</t>
  </si>
  <si>
    <t xml:space="preserve">Cost of Equity (Ke)</t>
  </si>
  <si>
    <t xml:space="preserve">Terminal Sustainable ROE</t>
  </si>
  <si>
    <t xml:space="preserve">Terminal Growth Rate (g)</t>
  </si>
  <si>
    <t xml:space="preserve">Warranted P/B</t>
  </si>
  <si>
    <t xml:space="preserve">FY27E Book Value per Share (₹)</t>
  </si>
  <si>
    <t xml:space="preserve">Implied Fair Value — Excess Return Model (₹)</t>
  </si>
  <si>
    <t xml:space="preserve">B. SENSITIVITY — IMPLIED FAIR VALUE (₹) BY Ke AND TERMINAL GROWTH (g)</t>
  </si>
  <si>
    <t xml:space="preserve">(Rows = Cost of Equity; Columns = Terminal Growth; Terminal ROE fixed per DCF Inputs)</t>
  </si>
  <si>
    <t xml:space="preserve">Ke \ g</t>
  </si>
  <si>
    <t xml:space="preserve">Current price ₹983 shown for reference in the football field (section E) below.</t>
  </si>
  <si>
    <t xml:space="preserve">C. COMPARABLE-COMPANIES VALUATION (from Comparable Companies tab)</t>
  </si>
  <si>
    <t xml:space="preserve">Implied Price — Peer Median P/E × SBI FY27E EPS</t>
  </si>
  <si>
    <t xml:space="preserve">Implied Price — Peer Median P/B × SBI FY27E BVPS</t>
  </si>
  <si>
    <t xml:space="preserve">Average of P/E- and P/B-implied Comps Valuation (₹)</t>
  </si>
  <si>
    <t xml:space="preserve">D. VALUATION SUMMARY &amp; WEIGHTED PRICE TARGET</t>
  </si>
  <si>
    <t xml:space="preserve">Method</t>
  </si>
  <si>
    <t xml:space="preserve">Low (₹)</t>
  </si>
  <si>
    <t xml:space="preserve">Base (₹)</t>
  </si>
  <si>
    <t xml:space="preserve">High (₹)</t>
  </si>
  <si>
    <t xml:space="preserve">Weight (%)</t>
  </si>
  <si>
    <t xml:space="preserve">Weighted (₹)</t>
  </si>
  <si>
    <t xml:space="preserve">Excess Return / Warranted P/B</t>
  </si>
  <si>
    <t xml:space="preserve">Trading Comparables (P/E &amp; P/B blend)</t>
  </si>
  <si>
    <t xml:space="preserve">Precedent Transactions</t>
  </si>
  <si>
    <t xml:space="preserve">Not used: SBI is systemically important and majority state-owned; bank-M&amp;A control premia are not a meaningful reference point for its equity valuation.</t>
  </si>
  <si>
    <t xml:space="preserve">WEIGHTED AVERAGE PRICE TARGET</t>
  </si>
  <si>
    <t xml:space="preserve">Rounded 12-Month Price Target (₹)</t>
  </si>
  <si>
    <t xml:space="preserve">Implied Upside / (Downside) to Target</t>
  </si>
  <si>
    <t xml:space="preserve">Recommendation</t>
  </si>
  <si>
    <t xml:space="preserve">E. VALUATION FOOTBALL FIELD (LOW / BASE / HIGH, ₹ PER SHARE)</t>
  </si>
  <si>
    <t xml:space="preserve">Low</t>
  </si>
  <si>
    <t xml:space="preserve">High</t>
  </si>
  <si>
    <t xml:space="preserve">Trading Comparables</t>
  </si>
  <si>
    <t xml:space="preserve">Current Price (memo)</t>
  </si>
  <si>
    <t xml:space="preserve">F. KEY CATALYSTS &amp; RISKS TO PRICE TARGET</t>
  </si>
  <si>
    <t xml:space="preserve">1. YONO 2.0 execution — successful repositioning as customers' primary payments/transaction surface would defend fee income and the CASA franchise.</t>
  </si>
  <si>
    <t xml:space="preserve">2. NIM recovery — domestic NIM troughed near 3.0% in FY26; deposit repricing and the Sept-2025 CRR cut should lift margins back toward ~3.2% through FY27-28.</t>
  </si>
  <si>
    <t xml:space="preserve">3. Continued asset-quality cleanup — GNPA/NNPA at multi-decade lows (1.49%/0.39%); further improvement would support re-rating toward private-peer multiples.</t>
  </si>
  <si>
    <t xml:space="preserve">4. Subsidiary value unlock — the planned SBI Funds Management stake-sale IPO would crystallize and make visible SOTP value not reflected in the standalone P/B.</t>
  </si>
  <si>
    <t xml:space="preserve">5. PSU-bank sector re-rating — SBI trades at ~1.5x P/B vs. ~1.9x median for large private banks despite comparable or better ROE; narrowing this gap is a structural catalyst.</t>
  </si>
  <si>
    <t xml:space="preserve">1. Government-directed lending / policy risk — priority-sector mandates and periodic moral suasion on rates can pressure margins independent of market conditions.</t>
  </si>
  <si>
    <t xml:space="preserve">2. NIM undershoot — if deposit repricing lags further or rate cuts continue, NIM recovery could disappoint, compressing the earnings base the target relies on.</t>
  </si>
  <si>
    <t xml:space="preserve">3. Credit-cycle normalization — SME/agri/unsecured-retail segments driving recent growth are also the most cycle-sensitive; a sharper slowdown would reverse recent slippage improvements.</t>
  </si>
  <si>
    <t xml:space="preserve">4. Execution risk on YONO 2.0 — failure to shift meaningful transaction volume onto the platform cedes ground to UPI-native fintechs without an offsetting cost benefit.</t>
  </si>
  <si>
    <t xml:space="preserve">5. Treasury / one-off dependency — a meaningful share of recent reported profit growth (Yes Bank stake sale, treasury gains) is non-recurring; normalization could slow headline EPS growth.</t>
  </si>
  <si>
    <t xml:space="preserve">COMPARABLE COMPANIES ANALYSIS</t>
  </si>
  <si>
    <t xml:space="preserve">Peer set: large-cap Indian banks (private + PSU). Market data as of late Sept 2026. P/E and P/B are the standard bank valuation multiples (EV/EBITDA is not meaningful for a bank since deposits/advances, not debt/capex, drive its balance sheet).</t>
  </si>
  <si>
    <t xml:space="preserve">Company</t>
  </si>
  <si>
    <t xml:space="preserve">Price (₹)</t>
  </si>
  <si>
    <t xml:space="preserve">Mkt Cap (₹cr)</t>
  </si>
  <si>
    <t xml:space="preserve">P/E (x)</t>
  </si>
  <si>
    <t xml:space="preserve">P/B (x)</t>
  </si>
  <si>
    <t xml:space="preserve">ROE (%)</t>
  </si>
  <si>
    <t xml:space="preserve">Type</t>
  </si>
  <si>
    <t xml:space="preserve">Peer rationale</t>
  </si>
  <si>
    <t xml:space="preserve">HDFC Bank</t>
  </si>
  <si>
    <t xml:space="preserve">Private</t>
  </si>
  <si>
    <t xml:space="preserve">Largest private bank; scale/franchise benchmark post-HDFC Ltd merger</t>
  </si>
  <si>
    <t xml:space="preserve">ICICI Bank</t>
  </si>
  <si>
    <t xml:space="preserve">2nd-largest private bank; highest NIM among large peers, strong digital platform</t>
  </si>
  <si>
    <t xml:space="preserve">Axis Bank</t>
  </si>
  <si>
    <t xml:space="preserve">3rd-largest private bank; corporate &amp; SME-banking strength</t>
  </si>
  <si>
    <t xml:space="preserve">Kotak Mahindra Bank</t>
  </si>
  <si>
    <t xml:space="preserve">Premium-rated private bank; conservative underwriting, high margins</t>
  </si>
  <si>
    <t xml:space="preserve">Punjab National Bank</t>
  </si>
  <si>
    <t xml:space="preserve">PSU</t>
  </si>
  <si>
    <t xml:space="preserve">2nd-largest PSU bank; closest PSU-peer analogue to SBI</t>
  </si>
  <si>
    <t xml:space="preserve">Bank of Baroda</t>
  </si>
  <si>
    <t xml:space="preserve">3rd-largest PSU bank; similar international-banking footprint</t>
  </si>
  <si>
    <t xml:space="preserve">Canara Bank</t>
  </si>
  <si>
    <t xml:space="preserve">Large PSU peer; comparable priority-sector mix and ownership structure</t>
  </si>
  <si>
    <t xml:space="preserve">State Bank of India (Target)</t>
  </si>
  <si>
    <t xml:space="preserve">PSU (Target)</t>
  </si>
  <si>
    <t xml:space="preserve">Largest bank in India by every balance-sheet metric; subject of this coverage initiation</t>
  </si>
  <si>
    <t xml:space="preserve">STATISTICAL SUMMARY (peer set only, excl. SBI)</t>
  </si>
  <si>
    <t xml:space="preserve">Maximum</t>
  </si>
  <si>
    <t xml:space="preserve">75th Percentile</t>
  </si>
  <si>
    <t xml:space="preserve">Median</t>
  </si>
  <si>
    <t xml:space="preserve">25th Percentile</t>
  </si>
  <si>
    <t xml:space="preserve">Minimum</t>
  </si>
  <si>
    <t xml:space="preserve">APPLY PEER MULTIPLES TO SBI</t>
  </si>
  <si>
    <t xml:space="preserve">SBI FY27E EPS (₹, per Income Statement)</t>
  </si>
  <si>
    <t xml:space="preserve">SBI FY27E BVPS (₹, per Balance Sheet)</t>
  </si>
  <si>
    <t xml:space="preserve">Rationale: SBI's FY26 ROE (18.6%) sits above the PSU-peer median and close to the private-bank median, while its P/B (1.47x) trades at roughly half the private-bank median (~1.9x) — supporting the view that SBI's re-rating toward private-peer multiples is not yet complete. No premium/discount adjustment is applied to the raw peer-median multiples above; the Valuation tab blends this comps view with the Excess Return / Warranted P/B output.</t>
  </si>
  <si>
    <t xml:space="preserve">CHARTS — STATE BANK OF INDIA INITIATING COVERAGE</t>
  </si>
  <si>
    <t xml:space="preserve">All charts are native, editable Excel charts built directly from the model's Revenue Model, Income Statement, Balance Sheet, Cash Flow Statement, Scenarios, DCF Inputs, Comparable Companies and Valuation tabs — updating automatically if any input changes.</t>
  </si>
  <si>
    <t xml:space="preserve">1. BALANCE SHEET GROWTH, SEGMENT &amp; GEOGRAPHY MIX</t>
  </si>
  <si>
    <t xml:space="preserve">Chart 1. Gross Advances by Segment — Stacked Area (₹ cr)</t>
  </si>
  <si>
    <t xml:space="preserve">Chart 2. Gross Advances by Geography — Stacked Bar (₹ cr)</t>
  </si>
  <si>
    <t xml:space="preserve">Chart 3. Deposit Mix — CASA vs. Term Deposits, Stacked Bar (₹ cr)</t>
  </si>
  <si>
    <t xml:space="preserve">Chart 4. Total Advances &amp; Deposits Trend (₹ cr)</t>
  </si>
  <si>
    <t xml:space="preserve">2. MARGINS, ASSET QUALITY &amp; CAPITAL ADEQUACY</t>
  </si>
  <si>
    <t xml:space="preserve">Chart 5. Domestic Net Interest Margin Trend (%)</t>
  </si>
  <si>
    <t xml:space="preserve">Chart 6. Cost-to-Income Ratio Trend (%)</t>
  </si>
  <si>
    <t xml:space="preserve">Chart 7. Asset Quality — Gross &amp; Net NPA Ratio Trend (%)</t>
  </si>
  <si>
    <t xml:space="preserve">Chart 8. Provision Coverage Ratio Trend (%)</t>
  </si>
  <si>
    <t xml:space="preserve">Chart 9. Capital Adequacy — CET1 / Tier 1 / CAR Trend (%)</t>
  </si>
  <si>
    <t xml:space="preserve">Chart 10. CASA Ratio Trend (%)</t>
  </si>
  <si>
    <t xml:space="preserve">3. PROFITABILITY, RETURNS &amp; PER-SHARE METRICS</t>
  </si>
  <si>
    <t xml:space="preserve">Chart 11. Net Profit (PAT) Trend — Bar (₹ cr)</t>
  </si>
  <si>
    <t xml:space="preserve">Chart 12. Basic EPS Trend — Bar (₹)</t>
  </si>
  <si>
    <t xml:space="preserve">Chart 13. Return on Assets (ROA) &amp; Return on Equity (ROE) Trend (%)</t>
  </si>
  <si>
    <t xml:space="preserve">Chart 14. Dividend per Share &amp; Book Value per Share (₹)</t>
  </si>
  <si>
    <t xml:space="preserve">Chart 15. Non-Interest Income Composition — Stacked Bar (₹ cr)</t>
  </si>
  <si>
    <t xml:space="preserve">Chart 16. Operating Expense Composition — Stacked Bar (₹ cr)</t>
  </si>
  <si>
    <t xml:space="preserve">Chart 17. Total Net Revenue &amp; Operating Profit (PPOP) Trend (₹ cr)</t>
  </si>
  <si>
    <t xml:space="preserve">Chart 18. Distributable Cash Flow to Equity (FCFE proxy) Trend (₹ cr)</t>
  </si>
  <si>
    <t xml:space="preserve">4. SCENARIO ANALYSIS — BULL / BASE / BEAR (FY31E)</t>
  </si>
  <si>
    <t xml:space="preserve">Chart 19. FY31E Net Profit by Scenario — Bar (₹ cr)</t>
  </si>
  <si>
    <t xml:space="preserve">Chart 20. FY31E EPS by Scenario — Bar (₹)</t>
  </si>
  <si>
    <t xml:space="preserve">Chart 21. FY31E Gross Advances by Scenario (₹ cr)</t>
  </si>
  <si>
    <t xml:space="preserve">Chart 22. FY31E Return on Equity by Scenario (%)</t>
  </si>
  <si>
    <t xml:space="preserve">5. VALUATION — DCF SENSITIVITY, COMPARABLES &amp; FOOTBALL FIELD</t>
  </si>
  <si>
    <t xml:space="preserve">Chart 23. DCF Sensitivity — Fair Value (₹) vs. Cost of Equity, by Terminal Growth ⭐</t>
  </si>
  <si>
    <t xml:space="preserve">Chart 24. Valuation Football Field — Low / Base / High (₹) ⭐</t>
  </si>
  <si>
    <t xml:space="preserve">Chart 25. Peer P/E Comparison (x)</t>
  </si>
  <si>
    <t xml:space="preserve">Chart 26. Peer P/B Comparison (x)</t>
  </si>
  <si>
    <t xml:space="preserve">Chart 27. ROE vs. P/B Positioning — Scatter</t>
  </si>
  <si>
    <t xml:space="preserve">Chart 28. Peer Market Capitalization Comparison (₹ cr)</t>
  </si>
  <si>
    <t xml:space="preserve">Chart 29. 12-Month Price Target vs. Current Price (₹)</t>
  </si>
  <si>
    <t xml:space="preserve">NOTES, SOURCES &amp; MODELING CONVENTIONS</t>
  </si>
  <si>
    <t xml:space="preserve">COLOR CODE</t>
  </si>
  <si>
    <t xml:space="preserve">  Blue text = hardcoded input (historical actual, or a projection assumption you can change)</t>
  </si>
  <si>
    <t xml:space="preserve">  Black text = formula calculated within the same sheet</t>
  </si>
  <si>
    <t xml:space="preserve">  Green text = formula linking to a cell on another sheet</t>
  </si>
  <si>
    <t xml:space="preserve">  Navy/gold fill in year header = actuals (FY22A–FY26A) vs. estimates (FY27E–FY31E)</t>
  </si>
  <si>
    <t xml:space="preserve">PERIODS &amp; CONVENTIONS</t>
  </si>
  <si>
    <t xml:space="preserve">  Fiscal year end = March 31 (e.g., FY26A = year ended 31 March 2026).</t>
  </si>
  <si>
    <t xml:space="preserve">  All figures are STANDALONE (parent bank only), not consolidated, unless stated. Consolidated figures (which include SBI Life, SBI Cards, SBI General, SBI Mutual Fund, etc.) are higher for net profit, book value and EPS — e.g., consolidated FY26 net profit and TTM EPS reported by market-data vendors will exceed the standalone figures modeled here. This is a deliberate choice: the operating model focuses on the core bank, and subsidiary value is addressed separately (sum-of-the-parts) in Task 3 valuation.</t>
  </si>
  <si>
    <t xml:space="preserve">  Interest income/expense on advances, investments, deposits and borrowings is calculated on CLOSING balances × yield/cost, a simplification versus average-balance methodology; this is standard practice in initiating-coverage models and does not materially affect trend conclusions.</t>
  </si>
  <si>
    <t xml:space="preserve">  Balance Sheet 'Other Assets' is the residual balancing plug (Total Liabilities less all other modeled asset lines) so the balance sheet ties out exactly in every period — advances, investments, deposits and capital are each modeled independently off disclosed/assumed drivers rather than derived residually.</t>
  </si>
  <si>
    <t xml:space="preserve">KEY DATA SOURCES (Task 1 research, cross-checked against company disclosures)</t>
  </si>
  <si>
    <t xml:space="preserve">  SBI Integrated Annual Report FY2024-25 and FY26 results press releases / analyst presentations, sbi.bank.in</t>
  </si>
  <si>
    <t xml:space="preserve">  SBI Q1-Q4 FY23–FY26 quarterly results press releases (Business Standard, ANI, Groww, Investing.com coverage)</t>
  </si>
  <si>
    <t xml:space="preserve">  Historical net profit: FY22 ₹31,676 cr; FY23 ₹50,232 cr; FY24 ₹61,077 cr; FY25 ₹70,901 cr; FY26 ₹80,032 cr (standalone, company-reported)</t>
  </si>
  <si>
    <t xml:space="preserve">  FY26 Whole Bank / Domestic NIM 2.91% / 3.03%; FY26 GNPA 1.49%, NNPA 0.39%, PCR 74.36% (Q4FY26 press release)</t>
  </si>
  <si>
    <t xml:space="preserve">  FY26 CAR 15.40%; FY26 QIP raised ₹25,000 cr (~30.59 cr shares); FY26 dividend ₹17.35/share</t>
  </si>
  <si>
    <t xml:space="preserve">  Segment growth rates (SME +20.99%, Agri +19.68%, Corporate +14.83%, Foreign Office +20.01% YoY, FY26) per company disclosure</t>
  </si>
  <si>
    <t xml:space="preserve">  Share price / market data: Tickertape, Trendlyne, Investing.com, Kotak Neo, Screener.in (as of 25 Sep 2026: ₹983, mkt cap ~₹9.03 lakh cr, P/E ~11x, P/B ~1.47x)</t>
  </si>
  <si>
    <t xml:space="preserve">ESTIMATED / ANALYST-DERIVED FIGURES (not directly disclosed by the company)</t>
  </si>
  <si>
    <t xml:space="preserve">  Domestic advances segment mix (Retail / Agri / SME / Corporate) for FY22–FY24 is back-solved from FY25's disclosed retail share (41.8%) using indicative segment CAGRs; FY25/FY26 figures are anchored to disclosed aggregates and growth rates. Treat pre-FY25 segment splits as directional, not filed data.</t>
  </si>
  <si>
    <t xml:space="preserve">  Home Loan / Auto / Other Retail sub-split (60% / 5% / 35% of retail) is an illustrative internal allocation.</t>
  </si>
  <si>
    <t xml:space="preserve">  Domestic vs. Foreign Office advances split for FY22–FY24 uses an estimated rising foreign-office share (11%–13%), anchored to FY25/FY26 disclosed splits (14.7% / 15.1%).</t>
  </si>
  <si>
    <t xml:space="preserve">  Current vs. Savings account split within CASA (17% / 83%) is an illustrative allocation.</t>
  </si>
  <si>
    <t xml:space="preserve">  Fee income, treasury gains, forex income, dividend income, employee cost and opex historicals are reconstructed from published growth-rate commentary and P&amp;L aggregates rather than line-item filings; directionally accurate but not to the rupee.</t>
  </si>
  <si>
    <t xml:space="preserve">  FY26 Non-Interest Income includes a separate one-off/exceptional line of ₹4,618 cr for the Yes Bank stake-sale gain (₹4,593 cr) and Jio Payments Bank stake-sale gain (₹25 cr), kept apart from recurring fee/treasury/forex income so projected growth rates are not distorted by this one-time item.</t>
  </si>
  <si>
    <t xml:space="preserve">PROJECTION METHODOLOGY (FY27E–FY31E)</t>
  </si>
  <si>
    <t xml:space="preserve">  Advances and deposits are grown off Assumptions-tab growth rates by segment (Retail/Agri/SME/Corporate/Foreign Office), reflecting continued moderation from FY26's unusually strong 16.9% credit growth toward system-wide guidance of 13-15% (ICRA/CareEdge estimates for FY27), before settling near 11-12% longer term.</t>
  </si>
  <si>
    <t xml:space="preserve">  Domestic NIM is assumed to recover gradually from the FY26 trough (3.03%) as deposit repricing catches up with the RBI rate-cutting cycle, per management commentary (guided return toward ~3.2% domestic NIM).</t>
  </si>
  <si>
    <t xml:space="preserve">  Credit cost normalizes modestly upward from FY26's unusually low levels as the loan book seasons.</t>
  </si>
  <si>
    <t xml:space="preserve">  Cost-to-income ratio improves gradually on continued YONO-driven digital operating leverage.</t>
  </si>
  <si>
    <t xml:space="preserve">  Effective tax rate held flat at 25.2% (current effective rate under the concessional corporate tax regime).</t>
  </si>
  <si>
    <t xml:space="preserve">  No further equity dilution assumed beyond the FY26 QIP, consistent with management's stated guidance that SBI may not need fresh equity capital for five to six years.</t>
  </si>
  <si>
    <t xml:space="preserve">VALUATION APPROACH (DCF Inputs tab — completed in Task 3)</t>
  </si>
  <si>
    <t xml:space="preserve">  Standard FCFF/DCF is not a natural fit for a bank (capex and net-working-capital concepts do not map cleanly onto a balance sheet built from deposits and loans). This model instead prepares:</t>
  </si>
  <si>
    <t xml:space="preserve">    (1) A bank-appropriate FCFE proxy = Net Profit less capital retained to fund risk-weighted-asset growth;</t>
  </si>
  <si>
    <t xml:space="preserve">    (2) Dividend Discount Model (DDM) inputs (DPS, BVPS, ROE);</t>
  </si>
  <si>
    <t xml:space="preserve">    (3) A warranted (justified) Price-to-Book framework: Warranted P/B = (ROE − g) / (Ke − g), the standard bank-valuation framework used across sell-side bank research.</t>
  </si>
  <si>
    <t xml:space="preserve">  Cost of equity (Ke) is built via CAPM using a 10-year India G-Sec risk-free rate, an India equity risk premium, and beta vs. NIFTY 50; all three are blue-input cells you can adjust.</t>
  </si>
  <si>
    <t xml:space="preserve">SCENARIOS TAB</t>
  </si>
  <si>
    <t xml:space="preserve">  The Bull/Base/Bear tab is a self-contained, single-driver sensitivity (advances CAGR × terminal NIM and cost ratios) rather than a live three-way toggle of the full segment-level model. This keeps the workbook auditable; the primary Base-case forecast remains the full build in Income Statement / Balance Sheet. Minor differences between the Scenarios-tab 'Base' output and the full-model FY31E figures are expected and are a function of this simplification.</t>
  </si>
  <si>
    <t xml:space="preserve">WHAT TASK 3 ADDS</t>
  </si>
  <si>
    <t xml:space="preserve">  A 'Valuation' tab with the completed DCF / Excess Return output and price target, and a 'Comparable Companies' tab benchmarking SBI against HDFC Bank, ICICI Bank, Axis Bank, Kotak Mahindra Bank, PNB, Bank of Baroda and Canara Bank on P/E, P/B, ROE and growth.</t>
  </si>
  <si>
    <t xml:space="preserve">WHAT TASK 4 ADDS</t>
  </si>
  <si>
    <t xml:space="preserve">  Native, editable Excel charts (not images) on a dedicated 'Charts' tab and alongside relevant data, covering advances/deposits trends, NIM, asset quality, profitability, per-share metrics and scenario comparisons.</t>
  </si>
</sst>
</file>

<file path=xl/styles.xml><?xml version="1.0" encoding="utf-8"?>
<styleSheet xmlns="http://schemas.openxmlformats.org/spreadsheetml/2006/main">
  <numFmts count="9">
    <numFmt numFmtId="164" formatCode="General"/>
    <numFmt numFmtId="165" formatCode="0.00%"/>
    <numFmt numFmtId="166" formatCode="0.0%"/>
    <numFmt numFmtId="167" formatCode="#,##0;\(#,##0\);\-"/>
    <numFmt numFmtId="168" formatCode="#,##0.00;\(#,##0.00\);\-"/>
    <numFmt numFmtId="169" formatCode="\₹#,##0.00"/>
    <numFmt numFmtId="170" formatCode="0.00\x"/>
    <numFmt numFmtId="171" formatCode="@"/>
    <numFmt numFmtId="172" formatCode="0%"/>
  </numFmts>
  <fonts count="39">
    <font>
      <sz val="11"/>
      <color theme="1"/>
      <name val="Calibri"/>
      <family val="2"/>
      <charset val="1"/>
    </font>
    <font>
      <sz val="10"/>
      <name val="Arial"/>
      <family val="0"/>
    </font>
    <font>
      <sz val="10"/>
      <name val="Arial"/>
      <family val="0"/>
    </font>
    <font>
      <sz val="10"/>
      <name val="Arial"/>
      <family val="0"/>
    </font>
    <font>
      <b val="true"/>
      <sz val="26"/>
      <color rgb="FF1F4E78"/>
      <name val="Arial"/>
      <family val="0"/>
      <charset val="1"/>
    </font>
    <font>
      <sz val="11"/>
      <color rgb="FF595959"/>
      <name val="Arial"/>
      <family val="0"/>
      <charset val="1"/>
    </font>
    <font>
      <b val="true"/>
      <sz val="16"/>
      <color rgb="FFBF8F00"/>
      <name val="Arial"/>
      <family val="0"/>
      <charset val="1"/>
    </font>
    <font>
      <i val="true"/>
      <sz val="11"/>
      <color rgb="FF595959"/>
      <name val="Arial"/>
      <family val="0"/>
      <charset val="1"/>
    </font>
    <font>
      <b val="true"/>
      <sz val="11"/>
      <color rgb="FF1F4E78"/>
      <name val="Arial"/>
      <family val="0"/>
      <charset val="1"/>
    </font>
    <font>
      <sz val="10"/>
      <color rgb="FF595959"/>
      <name val="Arial"/>
      <family val="0"/>
      <charset val="1"/>
    </font>
    <font>
      <b val="true"/>
      <sz val="12"/>
      <color rgb="FFFFFFFF"/>
      <name val="Arial"/>
      <family val="0"/>
      <charset val="1"/>
    </font>
    <font>
      <sz val="10"/>
      <color rgb="FF000000"/>
      <name val="Arial"/>
      <family val="0"/>
      <charset val="1"/>
    </font>
    <font>
      <i val="true"/>
      <sz val="9"/>
      <color rgb="FF595959"/>
      <name val="Arial"/>
      <family val="0"/>
      <charset val="1"/>
    </font>
    <font>
      <b val="true"/>
      <sz val="14"/>
      <color rgb="FFFFFFFF"/>
      <name val="Arial"/>
      <family val="0"/>
      <charset val="1"/>
    </font>
    <font>
      <b val="true"/>
      <i val="true"/>
      <sz val="9"/>
      <color rgb="FF595959"/>
      <name val="Arial"/>
      <family val="0"/>
      <charset val="1"/>
    </font>
    <font>
      <b val="true"/>
      <sz val="10"/>
      <color rgb="FFFFFFFF"/>
      <name val="Arial"/>
      <family val="0"/>
      <charset val="1"/>
    </font>
    <font>
      <b val="true"/>
      <sz val="10.5"/>
      <color rgb="FFFFFFFF"/>
      <name val="Arial"/>
      <family val="0"/>
      <charset val="1"/>
    </font>
    <font>
      <sz val="10"/>
      <color rgb="FF0000FF"/>
      <name val="Arial"/>
      <family val="0"/>
      <charset val="1"/>
    </font>
    <font>
      <b val="true"/>
      <i val="true"/>
      <sz val="10"/>
      <color rgb="FF1F4E78"/>
      <name val="Arial"/>
      <family val="0"/>
      <charset val="1"/>
    </font>
    <font>
      <sz val="10"/>
      <color rgb="FF008000"/>
      <name val="Arial"/>
      <family val="0"/>
      <charset val="1"/>
    </font>
    <font>
      <b val="true"/>
      <sz val="10"/>
      <color rgb="FF000000"/>
      <name val="Arial"/>
      <family val="0"/>
      <charset val="1"/>
    </font>
    <font>
      <i val="true"/>
      <sz val="10"/>
      <color rgb="FF000000"/>
      <name val="Arial"/>
      <family val="0"/>
      <charset val="1"/>
    </font>
    <font>
      <i val="true"/>
      <sz val="9"/>
      <color rgb="FF808080"/>
      <name val="Arial"/>
      <family val="0"/>
      <charset val="1"/>
    </font>
    <font>
      <b val="true"/>
      <sz val="10"/>
      <color rgb="FF008000"/>
      <name val="Arial"/>
      <family val="0"/>
      <charset val="1"/>
    </font>
    <font>
      <b val="true"/>
      <sz val="11"/>
      <color rgb="FFFFFFFF"/>
      <name val="Arial"/>
      <family val="0"/>
      <charset val="1"/>
    </font>
    <font>
      <sz val="10"/>
      <name val="Arial"/>
      <family val="0"/>
      <charset val="1"/>
    </font>
    <font>
      <b val="true"/>
      <sz val="10"/>
      <name val="Arial"/>
      <family val="0"/>
      <charset val="1"/>
    </font>
    <font>
      <i val="true"/>
      <sz val="10"/>
      <name val="Arial"/>
      <family val="0"/>
      <charset val="1"/>
    </font>
    <font>
      <b val="true"/>
      <sz val="10"/>
      <color rgb="FF0000FF"/>
      <name val="Arial"/>
      <family val="0"/>
      <charset val="1"/>
    </font>
    <font>
      <i val="true"/>
      <sz val="10"/>
      <color rgb="FF808080"/>
      <name val="Arial"/>
      <family val="0"/>
      <charset val="1"/>
    </font>
    <font>
      <i val="true"/>
      <sz val="8.5"/>
      <color rgb="FF595959"/>
      <name val="Arial"/>
      <family val="0"/>
      <charset val="1"/>
    </font>
    <font>
      <sz val="9.5"/>
      <name val="Arial"/>
      <family val="0"/>
      <charset val="1"/>
    </font>
    <font>
      <b val="true"/>
      <i val="true"/>
      <sz val="9"/>
      <color rgb="FF1F4E78"/>
      <name val="Arial"/>
      <family val="0"/>
      <charset val="1"/>
    </font>
    <font>
      <b val="true"/>
      <sz val="16"/>
      <color rgb="FFFFFFFF"/>
      <name val="Arial"/>
      <family val="0"/>
      <charset val="1"/>
    </font>
    <font>
      <b val="true"/>
      <sz val="10"/>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
      <sz val="9.5"/>
      <color rgb="FF000000"/>
      <name val="Arial"/>
      <family val="0"/>
      <charset val="1"/>
    </font>
  </fonts>
  <fills count="10">
    <fill>
      <patternFill patternType="none"/>
    </fill>
    <fill>
      <patternFill patternType="gray125"/>
    </fill>
    <fill>
      <patternFill patternType="solid">
        <fgColor rgb="FF1F4E78"/>
        <bgColor rgb="FF003366"/>
      </patternFill>
    </fill>
    <fill>
      <patternFill patternType="solid">
        <fgColor rgb="FFFFFFFF"/>
        <bgColor rgb="FFF2F6FB"/>
      </patternFill>
    </fill>
    <fill>
      <patternFill patternType="solid">
        <fgColor rgb="FFBF8F00"/>
        <bgColor rgb="FFF79646"/>
      </patternFill>
    </fill>
    <fill>
      <patternFill patternType="solid">
        <fgColor rgb="FFDCE6F1"/>
        <bgColor rgb="FFD9E2F3"/>
      </patternFill>
    </fill>
    <fill>
      <patternFill patternType="solid">
        <fgColor rgb="FFD9E2F3"/>
        <bgColor rgb="FFDCE6F1"/>
      </patternFill>
    </fill>
    <fill>
      <patternFill patternType="solid">
        <fgColor rgb="FF2E7D32"/>
        <bgColor rgb="FF008000"/>
      </patternFill>
    </fill>
    <fill>
      <patternFill patternType="solid">
        <fgColor rgb="FFB02A2A"/>
        <bgColor rgb="FF993366"/>
      </patternFill>
    </fill>
    <fill>
      <patternFill patternType="solid">
        <fgColor rgb="FFF2F6FB"/>
        <bgColor rgb="FFFFFFFF"/>
      </patternFill>
    </fill>
  </fills>
  <borders count="3">
    <border diagonalUp="false" diagonalDown="false">
      <left/>
      <right/>
      <top/>
      <bottom/>
      <diagonal/>
    </border>
    <border diagonalUp="false" diagonalDown="false">
      <left style="thin">
        <color rgb="FFB7C6E0"/>
      </left>
      <right style="thin">
        <color rgb="FFB7C6E0"/>
      </right>
      <top style="thin">
        <color rgb="FFB7C6E0"/>
      </top>
      <bottom style="thin">
        <color rgb="FFB7C6E0"/>
      </bottom>
      <diagonal/>
    </border>
    <border diagonalUp="false" diagonalDown="false">
      <left/>
      <right/>
      <top style="thin">
        <color rgb="FF1F4E7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center" vertical="bottom" textRotation="0" wrapText="false" indent="0" shrinkToFit="false"/>
      <protection locked="true" hidden="false"/>
    </xf>
    <xf numFmtId="164" fontId="5" fillId="3" borderId="0"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true" applyAlignment="true" applyProtection="true">
      <alignment horizontal="center" vertical="bottom" textRotation="0" wrapText="false" indent="0" shrinkToFit="false"/>
      <protection locked="true" hidden="false"/>
    </xf>
    <xf numFmtId="164" fontId="7" fillId="3" borderId="0" xfId="0" applyFont="true" applyBorder="true" applyAlignment="true" applyProtection="true">
      <alignment horizontal="center" vertical="bottom" textRotation="0" wrapText="false" indent="0" shrinkToFit="false"/>
      <protection locked="true" hidden="false"/>
    </xf>
    <xf numFmtId="164" fontId="8" fillId="3" borderId="0" xfId="0" applyFont="true" applyBorder="true" applyAlignment="true" applyProtection="true">
      <alignment horizontal="center" vertical="bottom" textRotation="0" wrapText="false" indent="0" shrinkToFit="false"/>
      <protection locked="true" hidden="false"/>
    </xf>
    <xf numFmtId="164" fontId="9" fillId="3" borderId="0" xfId="0" applyFont="true" applyBorder="true" applyAlignment="true" applyProtection="true">
      <alignment horizontal="center" vertical="bottom" textRotation="0" wrapText="false" indent="0" shrinkToFit="false"/>
      <protection locked="true" hidden="false"/>
    </xf>
    <xf numFmtId="164" fontId="10" fillId="2" borderId="0" xfId="0" applyFont="true" applyBorder="true" applyAlignment="true" applyProtection="true">
      <alignment horizontal="center" vertical="bottom" textRotation="0" wrapText="false" indent="0" shrinkToFit="false"/>
      <protection locked="true" hidden="false"/>
    </xf>
    <xf numFmtId="164" fontId="11" fillId="3" borderId="0" xfId="0" applyFont="true" applyBorder="true" applyAlignment="true" applyProtection="true">
      <alignment horizontal="left" vertical="bottom" textRotation="0" wrapText="false" indent="2" shrinkToFit="false"/>
      <protection locked="true" hidden="false"/>
    </xf>
    <xf numFmtId="164" fontId="12" fillId="3" borderId="0" xfId="0" applyFont="true" applyBorder="true" applyAlignment="true" applyProtection="true">
      <alignment horizontal="center" vertical="bottom"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1"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2" borderId="1" xfId="0" applyFont="true" applyBorder="true" applyAlignment="true" applyProtection="true">
      <alignment horizontal="center" vertical="bottom" textRotation="0" wrapText="false" indent="0" shrinkToFit="false"/>
      <protection locked="true" hidden="false"/>
    </xf>
    <xf numFmtId="164" fontId="15" fillId="4" borderId="1" xfId="0" applyFont="true" applyBorder="true" applyAlignment="true" applyProtection="true">
      <alignment horizontal="center" vertical="bottom" textRotation="0" wrapText="false" indent="0" shrinkToFit="false"/>
      <protection locked="true" hidden="false"/>
    </xf>
    <xf numFmtId="164" fontId="16" fillId="2" borderId="0" xfId="0" applyFont="true" applyBorder="true" applyAlignment="true" applyProtection="true">
      <alignment horizontal="left" vertical="bottom" textRotation="0" wrapText="false" indent="1" shrinkToFit="false"/>
      <protection locked="true" hidden="false"/>
    </xf>
    <xf numFmtId="164" fontId="11" fillId="0" borderId="0" xfId="0" applyFont="true" applyBorder="false" applyAlignment="true" applyProtection="true">
      <alignment horizontal="left" vertical="bottom" textRotation="0" wrapText="false" indent="1" shrinkToFit="false"/>
      <protection locked="true" hidden="false"/>
    </xf>
    <xf numFmtId="165" fontId="17" fillId="0" borderId="1" xfId="0" applyFont="true" applyBorder="true" applyAlignment="true" applyProtection="true">
      <alignment horizontal="general" vertical="bottom" textRotation="0" wrapText="false" indent="0" shrinkToFit="false"/>
      <protection locked="true" hidden="false"/>
    </xf>
    <xf numFmtId="166" fontId="17" fillId="0" borderId="1" xfId="0" applyFont="true" applyBorder="true" applyAlignment="true" applyProtection="true">
      <alignment horizontal="general" vertical="bottom" textRotation="0" wrapText="false" indent="0" shrinkToFit="false"/>
      <protection locked="true" hidden="false"/>
    </xf>
    <xf numFmtId="167" fontId="17" fillId="0" borderId="1" xfId="0" applyFont="true" applyBorder="true" applyAlignment="true" applyProtection="true">
      <alignment horizontal="general" vertical="bottom" textRotation="0" wrapText="false" indent="0" shrinkToFit="false"/>
      <protection locked="true" hidden="false"/>
    </xf>
    <xf numFmtId="164" fontId="18" fillId="5" borderId="0" xfId="0" applyFont="true" applyBorder="true" applyAlignment="true" applyProtection="true">
      <alignment horizontal="left" vertical="bottom" textRotation="0" wrapText="false" indent="1" shrinkToFit="false"/>
      <protection locked="true" hidden="false"/>
    </xf>
    <xf numFmtId="164" fontId="11" fillId="0" borderId="0" xfId="0" applyFont="true" applyBorder="false" applyAlignment="true" applyProtection="true">
      <alignment horizontal="left" vertical="bottom" textRotation="0" wrapText="false" indent="2" shrinkToFit="false"/>
      <protection locked="true" hidden="false"/>
    </xf>
    <xf numFmtId="167" fontId="19" fillId="0" borderId="1" xfId="0" applyFont="true" applyBorder="true" applyAlignment="true" applyProtection="true">
      <alignment horizontal="general" vertical="bottom" textRotation="0" wrapText="false" indent="0" shrinkToFit="false"/>
      <protection locked="true" hidden="false"/>
    </xf>
    <xf numFmtId="164" fontId="20" fillId="6" borderId="2" xfId="0" applyFont="true" applyBorder="true" applyAlignment="true" applyProtection="true">
      <alignment horizontal="general" vertical="bottom" textRotation="0" wrapText="false" indent="0" shrinkToFit="false"/>
      <protection locked="true" hidden="false"/>
    </xf>
    <xf numFmtId="167" fontId="20" fillId="6" borderId="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1" shrinkToFit="false"/>
      <protection locked="true" hidden="false"/>
    </xf>
    <xf numFmtId="166" fontId="22" fillId="0" borderId="1" xfId="0" applyFont="true" applyBorder="true" applyAlignment="true" applyProtection="true">
      <alignment horizontal="center" vertical="bottom" textRotation="0" wrapText="false" indent="0" shrinkToFit="false"/>
      <protection locked="true" hidden="false"/>
    </xf>
    <xf numFmtId="166" fontId="11" fillId="0" borderId="1" xfId="0" applyFont="true" applyBorder="true" applyAlignment="true" applyProtection="true">
      <alignment horizontal="general" vertical="bottom" textRotation="0" wrapText="false" indent="0" shrinkToFit="false"/>
      <protection locked="true" hidden="false"/>
    </xf>
    <xf numFmtId="165" fontId="11" fillId="0" borderId="1" xfId="0" applyFont="true" applyBorder="true" applyAlignment="true" applyProtection="true">
      <alignment horizontal="general" vertical="bottom" textRotation="0" wrapText="false" indent="0" shrinkToFit="false"/>
      <protection locked="true" hidden="false"/>
    </xf>
    <xf numFmtId="167" fontId="11" fillId="0" borderId="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2" shrinkToFit="false"/>
      <protection locked="true" hidden="false"/>
    </xf>
    <xf numFmtId="167" fontId="23" fillId="0" borderId="1" xfId="0" applyFont="true" applyBorder="true" applyAlignment="true" applyProtection="true">
      <alignment horizontal="general" vertical="bottom" textRotation="0" wrapText="false" indent="0" shrinkToFit="false"/>
      <protection locked="true" hidden="false"/>
    </xf>
    <xf numFmtId="165" fontId="19" fillId="0" borderId="1" xfId="0" applyFont="true" applyBorder="true" applyAlignment="true" applyProtection="true">
      <alignment horizontal="general" vertical="bottom" textRotation="0" wrapText="false" indent="0" shrinkToFit="false"/>
      <protection locked="true" hidden="false"/>
    </xf>
    <xf numFmtId="166" fontId="19" fillId="0" borderId="1" xfId="0" applyFont="true" applyBorder="true" applyAlignment="true" applyProtection="true">
      <alignment horizontal="general" vertical="bottom" textRotation="0" wrapText="false" indent="0" shrinkToFit="false"/>
      <protection locked="true" hidden="false"/>
    </xf>
    <xf numFmtId="168" fontId="17" fillId="0" borderId="1" xfId="0" applyFont="true" applyBorder="true" applyAlignment="true" applyProtection="true">
      <alignment horizontal="general" vertical="bottom" textRotation="0" wrapText="false" indent="0" shrinkToFit="false"/>
      <protection locked="true" hidden="false"/>
    </xf>
    <xf numFmtId="168" fontId="19" fillId="0" borderId="1" xfId="0" applyFont="true" applyBorder="true" applyAlignment="true" applyProtection="true">
      <alignment horizontal="general" vertical="bottom" textRotation="0" wrapText="false" indent="0" shrinkToFit="false"/>
      <protection locked="true" hidden="false"/>
    </xf>
    <xf numFmtId="168" fontId="11" fillId="0" borderId="1"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2" shrinkToFit="false"/>
      <protection locked="true" hidden="false"/>
    </xf>
    <xf numFmtId="169" fontId="20" fillId="6" borderId="1" xfId="0" applyFont="true" applyBorder="true" applyAlignment="true" applyProtection="true">
      <alignment horizontal="general" vertical="bottom" textRotation="0" wrapText="false" indent="0" shrinkToFit="false"/>
      <protection locked="true" hidden="false"/>
    </xf>
    <xf numFmtId="169" fontId="11" fillId="0" borderId="1" xfId="0" applyFont="true" applyBorder="true" applyAlignment="true" applyProtection="true">
      <alignment horizontal="general" vertical="bottom" textRotation="0" wrapText="false" indent="0" shrinkToFit="false"/>
      <protection locked="true" hidden="false"/>
    </xf>
    <xf numFmtId="169" fontId="17" fillId="0" borderId="1" xfId="0" applyFont="true" applyBorder="true" applyAlignment="true" applyProtection="true">
      <alignment horizontal="general" vertical="bottom" textRotation="0" wrapText="false" indent="0" shrinkToFit="false"/>
      <protection locked="true" hidden="false"/>
    </xf>
    <xf numFmtId="169" fontId="19" fillId="0" borderId="1" xfId="0" applyFont="true" applyBorder="tru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general" vertical="bottom" textRotation="0" wrapText="false" indent="0" shrinkToFit="false"/>
      <protection locked="true" hidden="false"/>
    </xf>
    <xf numFmtId="166"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1" shrinkToFit="false"/>
      <protection locked="true" hidden="false"/>
    </xf>
    <xf numFmtId="167" fontId="20" fillId="0" borderId="1" xfId="0" applyFont="true" applyBorder="true" applyAlignment="true" applyProtection="true">
      <alignment horizontal="general" vertical="bottom" textRotation="0" wrapText="false" indent="0" shrinkToFit="false"/>
      <protection locked="true" hidden="false"/>
    </xf>
    <xf numFmtId="164" fontId="24" fillId="7" borderId="1" xfId="0" applyFont="true" applyBorder="true" applyAlignment="true" applyProtection="true">
      <alignment horizontal="center" vertical="bottom" textRotation="0" wrapText="false" indent="0" shrinkToFit="false"/>
      <protection locked="true" hidden="false"/>
    </xf>
    <xf numFmtId="164" fontId="24" fillId="2" borderId="1" xfId="0" applyFont="true" applyBorder="true" applyAlignment="true" applyProtection="true">
      <alignment horizontal="center" vertical="bottom" textRotation="0" wrapText="false" indent="0" shrinkToFit="false"/>
      <protection locked="true" hidden="false"/>
    </xf>
    <xf numFmtId="164" fontId="24" fillId="8" borderId="1" xfId="0" applyFont="true" applyBorder="true" applyAlignment="true" applyProtection="true">
      <alignment horizontal="center" vertical="bottom" textRotation="0" wrapText="false" indent="0" shrinkToFit="false"/>
      <protection locked="true" hidden="false"/>
    </xf>
    <xf numFmtId="170" fontId="17" fillId="0" borderId="1" xfId="0" applyFont="true" applyBorder="true" applyAlignment="true" applyProtection="true">
      <alignment horizontal="general" vertical="bottom" textRotation="0" wrapText="false" indent="0" shrinkToFit="false"/>
      <protection locked="true" hidden="false"/>
    </xf>
    <xf numFmtId="165" fontId="20" fillId="6" borderId="1" xfId="0" applyFont="true" applyBorder="true" applyAlignment="true" applyProtection="true">
      <alignment horizontal="general" vertical="bottom" textRotation="0" wrapText="false" indent="0" shrinkToFit="false"/>
      <protection locked="true" hidden="false"/>
    </xf>
    <xf numFmtId="170" fontId="20" fillId="6" borderId="1" xfId="0" applyFont="true" applyBorder="true" applyAlignment="true" applyProtection="true">
      <alignment horizontal="general" vertical="bottom" textRotation="0" wrapText="false" indent="0" shrinkToFit="false"/>
      <protection locked="true" hidden="false"/>
    </xf>
    <xf numFmtId="166" fontId="20" fillId="6" borderId="1"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1" shrinkToFit="false"/>
      <protection locked="true" hidden="false"/>
    </xf>
    <xf numFmtId="170" fontId="19" fillId="0" borderId="1" xfId="0" applyFont="true" applyBorder="tru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left" vertical="bottom" textRotation="0" wrapText="false" indent="1" shrinkToFit="false"/>
      <protection locked="true" hidden="false"/>
    </xf>
    <xf numFmtId="164" fontId="27" fillId="0" borderId="0" xfId="0" applyFont="true" applyBorder="false" applyAlignment="true" applyProtection="true">
      <alignment horizontal="left" vertical="bottom" textRotation="0" wrapText="false" indent="1" shrinkToFit="false"/>
      <protection locked="true" hidden="false"/>
    </xf>
    <xf numFmtId="171" fontId="20" fillId="6" borderId="1" xfId="0" applyFont="true" applyBorder="true" applyAlignment="true" applyProtection="true">
      <alignment horizontal="general" vertical="bottom" textRotation="0" wrapText="false" indent="0" shrinkToFit="false"/>
      <protection locked="true" hidden="false"/>
    </xf>
    <xf numFmtId="166" fontId="28" fillId="0" borderId="1" xfId="0" applyFont="true" applyBorder="true" applyAlignment="true" applyProtection="true">
      <alignment horizontal="general" vertical="bottom" textRotation="0" wrapText="false" indent="0" shrinkToFit="false"/>
      <protection locked="true" hidden="false"/>
    </xf>
    <xf numFmtId="165" fontId="28" fillId="0" borderId="1"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center" textRotation="0" wrapText="true" indent="0" shrinkToFit="false"/>
      <protection locked="true" hidden="false"/>
    </xf>
    <xf numFmtId="164" fontId="31" fillId="0" borderId="0" xfId="0" applyFont="true" applyBorder="true" applyAlignment="true" applyProtection="true">
      <alignment horizontal="general" vertical="top" textRotation="0" wrapText="true" indent="1" shrinkToFit="false"/>
      <protection locked="true" hidden="false"/>
    </xf>
    <xf numFmtId="164" fontId="15" fillId="2" borderId="1" xfId="0" applyFont="true" applyBorder="true" applyAlignment="true" applyProtection="true">
      <alignment horizontal="center" vertical="bottom" textRotation="0" wrapText="true" indent="0" shrinkToFit="false"/>
      <protection locked="true" hidden="false"/>
    </xf>
    <xf numFmtId="171" fontId="17" fillId="0"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71" fontId="17" fillId="9" borderId="1" xfId="0" applyFont="true" applyBorder="true" applyAlignment="true" applyProtection="true">
      <alignment horizontal="general" vertical="bottom" textRotation="0" wrapText="false" indent="0" shrinkToFit="false"/>
      <protection locked="true" hidden="false"/>
    </xf>
    <xf numFmtId="169" fontId="17" fillId="9" borderId="1" xfId="0" applyFont="true" applyBorder="true" applyAlignment="true" applyProtection="true">
      <alignment horizontal="general" vertical="bottom" textRotation="0" wrapText="false" indent="0" shrinkToFit="false"/>
      <protection locked="true" hidden="false"/>
    </xf>
    <xf numFmtId="167" fontId="17" fillId="9" borderId="1" xfId="0" applyFont="true" applyBorder="true" applyAlignment="true" applyProtection="true">
      <alignment horizontal="general" vertical="bottom" textRotation="0" wrapText="false" indent="0" shrinkToFit="false"/>
      <protection locked="true" hidden="false"/>
    </xf>
    <xf numFmtId="170" fontId="17" fillId="9" borderId="1" xfId="0" applyFont="true" applyBorder="true" applyAlignment="true" applyProtection="true">
      <alignment horizontal="general" vertical="bottom" textRotation="0" wrapText="false" indent="0" shrinkToFit="false"/>
      <protection locked="true" hidden="false"/>
    </xf>
    <xf numFmtId="166" fontId="17" fillId="9" borderId="1" xfId="0" applyFont="true" applyBorder="true" applyAlignment="true" applyProtection="true">
      <alignment horizontal="general" vertical="bottom" textRotation="0" wrapText="false" indent="0" shrinkToFit="false"/>
      <protection locked="true" hidden="false"/>
    </xf>
    <xf numFmtId="164" fontId="12" fillId="9" borderId="0" xfId="0" applyFont="true" applyBorder="false" applyAlignment="true" applyProtection="true">
      <alignment horizontal="general" vertical="center" textRotation="0" wrapText="true" indent="0" shrinkToFit="false"/>
      <protection locked="true" hidden="false"/>
    </xf>
    <xf numFmtId="171" fontId="28" fillId="9" borderId="1" xfId="0" applyFont="true" applyBorder="true" applyAlignment="true" applyProtection="true">
      <alignment horizontal="general" vertical="bottom" textRotation="0" wrapText="false" indent="0" shrinkToFit="false"/>
      <protection locked="true" hidden="false"/>
    </xf>
    <xf numFmtId="169" fontId="28" fillId="9" borderId="1" xfId="0" applyFont="true" applyBorder="true" applyAlignment="true" applyProtection="true">
      <alignment horizontal="general" vertical="bottom" textRotation="0" wrapText="false" indent="0" shrinkToFit="false"/>
      <protection locked="true" hidden="false"/>
    </xf>
    <xf numFmtId="167" fontId="28" fillId="9" borderId="1" xfId="0" applyFont="true" applyBorder="true" applyAlignment="true" applyProtection="true">
      <alignment horizontal="general" vertical="bottom" textRotation="0" wrapText="false" indent="0" shrinkToFit="false"/>
      <protection locked="true" hidden="false"/>
    </xf>
    <xf numFmtId="170" fontId="28" fillId="9" borderId="1" xfId="0" applyFont="true" applyBorder="true" applyAlignment="true" applyProtection="true">
      <alignment horizontal="general" vertical="bottom" textRotation="0" wrapText="false" indent="0" shrinkToFit="false"/>
      <protection locked="true" hidden="false"/>
    </xf>
    <xf numFmtId="166" fontId="28" fillId="9" borderId="1" xfId="0" applyFont="true" applyBorder="true" applyAlignment="true" applyProtection="true">
      <alignment horizontal="general" vertical="bottom" textRotation="0" wrapText="false" indent="0" shrinkToFit="false"/>
      <protection locked="true" hidden="false"/>
    </xf>
    <xf numFmtId="164" fontId="32" fillId="9" borderId="0" xfId="0" applyFont="true" applyBorder="false" applyAlignment="true" applyProtection="true">
      <alignment horizontal="general" vertical="center" textRotation="0" wrapText="tru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70" fontId="11" fillId="0" borderId="1" xfId="0" applyFont="true" applyBorder="tru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top" textRotation="0" wrapText="true" indent="1" shrinkToFit="false"/>
      <protection locked="true" hidden="false"/>
    </xf>
    <xf numFmtId="164" fontId="33" fillId="2" borderId="0" xfId="0" applyFont="true" applyBorder="true" applyAlignment="true" applyProtection="true">
      <alignment horizontal="left" vertical="center" textRotation="0" wrapText="false" indent="1" shrinkToFit="false"/>
      <protection locked="true" hidden="false"/>
    </xf>
    <xf numFmtId="164" fontId="10" fillId="4" borderId="0" xfId="0" applyFont="true" applyBorder="true" applyAlignment="true" applyProtection="true">
      <alignment horizontal="left" vertical="bottom" textRotation="0" wrapText="false" indent="1"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left" vertical="center" textRotation="0" wrapText="false" indent="1" shrinkToFit="false"/>
      <protection locked="true" hidden="false"/>
    </xf>
    <xf numFmtId="164" fontId="8" fillId="0" borderId="0" xfId="0" applyFont="true" applyBorder="false" applyAlignment="true" applyProtection="true">
      <alignment horizontal="left" vertical="top" textRotation="0" wrapText="true" indent="1" shrinkToFit="false"/>
      <protection locked="true" hidden="false"/>
    </xf>
    <xf numFmtId="164" fontId="38" fillId="0" borderId="0" xfId="0" applyFont="true" applyBorder="false" applyAlignment="true" applyProtection="tru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F8F00"/>
      <rgbColor rgb="FF800080"/>
      <rgbColor rgb="FF008080"/>
      <rgbColor rgb="FFB7C6E0"/>
      <rgbColor rgb="FF808080"/>
      <rgbColor rgb="FF9999FF"/>
      <rgbColor rgb="FFC0504D"/>
      <rgbColor rgb="FFF2F6FB"/>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4F81BD"/>
      <rgbColor rgb="FF4BACC6"/>
      <rgbColor rgb="FF9BBB59"/>
      <rgbColor rgb="FFFFCC00"/>
      <rgbColor rgb="FFF79646"/>
      <rgbColor rgb="FFFF6600"/>
      <rgbColor rgb="FF8064A2"/>
      <rgbColor rgb="FFB3B3B3"/>
      <rgbColor rgb="FF003366"/>
      <rgbColor rgb="FF2E7D32"/>
      <rgbColor rgb="FF003300"/>
      <rgbColor rgb="FF333300"/>
      <rgbColor rgb="FFB02A2A"/>
      <rgbColor rgb="FF993366"/>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Advances by Segment</a:t>
            </a:r>
          </a:p>
        </c:rich>
      </c:tx>
      <c:overlay val="0"/>
      <c:spPr>
        <a:noFill/>
        <a:ln w="0">
          <a:noFill/>
        </a:ln>
      </c:spPr>
    </c:title>
    <c:autoTitleDeleted val="0"/>
    <c:plotArea>
      <c:areaChart>
        <c:grouping val="stacked"/>
        <c:ser>
          <c:idx val="0"/>
          <c:order val="0"/>
          <c:tx>
            <c:strRef>
              <c:f>'Revenue Model'!A9</c:f>
              <c:strCache>
                <c:ptCount val="1"/>
                <c:pt idx="0">
                  <c:v>Total Retail Advances</c:v>
                </c:pt>
              </c:strCache>
            </c:strRef>
          </c:tx>
          <c:spPr>
            <a:solidFill>
              <a:srgbClr val="4f81bd"/>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Model'!$B$9:$K$9</c:f>
              <c:numCache>
                <c:formatCode>#,##0;\(#,##0\);\-</c:formatCode>
                <c:ptCount val="10"/>
                <c:pt idx="0">
                  <c:v>940302</c:v>
                </c:pt>
                <c:pt idx="1">
                  <c:v>1100153</c:v>
                </c:pt>
                <c:pt idx="2">
                  <c:v>1287179</c:v>
                </c:pt>
                <c:pt idx="3">
                  <c:v>1506000</c:v>
                </c:pt>
                <c:pt idx="4">
                  <c:v>1737733</c:v>
                </c:pt>
                <c:pt idx="5">
                  <c:v>1998392.95</c:v>
                </c:pt>
                <c:pt idx="6">
                  <c:v>2278167.963</c:v>
                </c:pt>
                <c:pt idx="7">
                  <c:v>2574329.79819</c:v>
                </c:pt>
                <c:pt idx="8">
                  <c:v>2896121.02296375</c:v>
                </c:pt>
                <c:pt idx="9">
                  <c:v>3243655.5457194</c:v>
                </c:pt>
              </c:numCache>
            </c:numRef>
          </c:val>
        </c:ser>
        <c:ser>
          <c:idx val="1"/>
          <c:order val="1"/>
          <c:tx>
            <c:strRef>
              <c:f>'Revenue Model'!A13</c:f>
              <c:strCache>
                <c:ptCount val="1"/>
                <c:pt idx="0">
                  <c:v>Agriculture &amp; Allied Activities — Balance</c:v>
                </c:pt>
              </c:strCache>
            </c:strRef>
          </c:tx>
          <c:spPr>
            <a:solidFill>
              <a:srgbClr val="c0504d"/>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Model'!$B$13:$K$13</c:f>
              <c:numCache>
                <c:formatCode>#,##0;\(#,##0\);\-</c:formatCode>
                <c:ptCount val="10"/>
                <c:pt idx="0">
                  <c:v>230745</c:v>
                </c:pt>
                <c:pt idx="1">
                  <c:v>258434</c:v>
                </c:pt>
                <c:pt idx="2">
                  <c:v>289446</c:v>
                </c:pt>
                <c:pt idx="3">
                  <c:v>324180</c:v>
                </c:pt>
                <c:pt idx="4">
                  <c:v>387979</c:v>
                </c:pt>
                <c:pt idx="5">
                  <c:v>442296.06</c:v>
                </c:pt>
                <c:pt idx="6">
                  <c:v>499794.5478</c:v>
                </c:pt>
                <c:pt idx="7">
                  <c:v>559769.893536</c:v>
                </c:pt>
                <c:pt idx="8">
                  <c:v>621344.58182496</c:v>
                </c:pt>
                <c:pt idx="9">
                  <c:v>689692.485825706</c:v>
                </c:pt>
              </c:numCache>
            </c:numRef>
          </c:val>
        </c:ser>
        <c:ser>
          <c:idx val="2"/>
          <c:order val="2"/>
          <c:tx>
            <c:strRef>
              <c:f>'Revenue Model'!A16</c:f>
              <c:strCache>
                <c:ptCount val="1"/>
                <c:pt idx="0">
                  <c:v>Small &amp; Medium Enterprises — Balance</c:v>
                </c:pt>
              </c:strCache>
            </c:strRef>
          </c:tx>
          <c:spPr>
            <a:solidFill>
              <a:srgbClr val="9bbb59"/>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Model'!$B$16:$K$16</c:f>
              <c:numCache>
                <c:formatCode>#,##0;\(#,##0\);\-</c:formatCode>
                <c:ptCount val="10"/>
                <c:pt idx="0">
                  <c:v>299994</c:v>
                </c:pt>
                <c:pt idx="1">
                  <c:v>347993</c:v>
                </c:pt>
                <c:pt idx="2">
                  <c:v>403672</c:v>
                </c:pt>
                <c:pt idx="3">
                  <c:v>468260</c:v>
                </c:pt>
                <c:pt idx="4">
                  <c:v>566548</c:v>
                </c:pt>
                <c:pt idx="5">
                  <c:v>662861.16</c:v>
                </c:pt>
                <c:pt idx="6">
                  <c:v>768918.9456</c:v>
                </c:pt>
                <c:pt idx="7">
                  <c:v>884256.78744</c:v>
                </c:pt>
                <c:pt idx="8">
                  <c:v>1008052.7376816</c:v>
                </c:pt>
                <c:pt idx="9">
                  <c:v>1139099.59358021</c:v>
                </c:pt>
              </c:numCache>
            </c:numRef>
          </c:val>
        </c:ser>
        <c:ser>
          <c:idx val="3"/>
          <c:order val="3"/>
          <c:tx>
            <c:strRef>
              <c:f>'Revenue Model'!A19</c:f>
              <c:strCache>
                <c:ptCount val="1"/>
                <c:pt idx="0">
                  <c:v>Large Corporate &amp; Commercial — Balance</c:v>
                </c:pt>
              </c:strCache>
            </c:strRef>
          </c:tx>
          <c:spPr>
            <a:solidFill>
              <a:srgbClr val="8064a2"/>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Model'!$B$19:$K$19</c:f>
              <c:numCache>
                <c:formatCode>#,##0;\(#,##0\);\-</c:formatCode>
                <c:ptCount val="10"/>
                <c:pt idx="0">
                  <c:v>1031911</c:v>
                </c:pt>
                <c:pt idx="1">
                  <c:v>1169172</c:v>
                </c:pt>
                <c:pt idx="2">
                  <c:v>1312018</c:v>
                </c:pt>
                <c:pt idx="3">
                  <c:v>1303560</c:v>
                </c:pt>
                <c:pt idx="4">
                  <c:v>1496878</c:v>
                </c:pt>
                <c:pt idx="5">
                  <c:v>1676503.36</c:v>
                </c:pt>
                <c:pt idx="6">
                  <c:v>1877683.7632</c:v>
                </c:pt>
                <c:pt idx="7">
                  <c:v>2112394.2336</c:v>
                </c:pt>
                <c:pt idx="8">
                  <c:v>2387005.483968</c:v>
                </c:pt>
                <c:pt idx="9">
                  <c:v>2697316.19688384</c:v>
                </c:pt>
              </c:numCache>
            </c:numRef>
          </c:val>
        </c:ser>
        <c:ser>
          <c:idx val="4"/>
          <c:order val="4"/>
          <c:tx>
            <c:strRef>
              <c:f>'Revenue Model'!A26</c:f>
              <c:strCache>
                <c:ptCount val="1"/>
                <c:pt idx="0">
                  <c:v>Foreign Office Advances — Balance</c:v>
                </c:pt>
              </c:strCache>
            </c:strRef>
          </c:tx>
          <c:spPr>
            <a:solidFill>
              <a:srgbClr val="4bacc6"/>
            </a:solidFill>
            <a:ln w="0">
              <a:noFill/>
            </a:ln>
          </c:spPr>
          <c:dLbls>
            <c:txPr>
              <a:bodyPr wrap="square"/>
              <a:lstStyle/>
              <a:p>
                <a:pPr>
                  <a:defRPr b="0" sz="1000" spc="-1" strike="noStrike">
                    <a:solidFill>
                      <a:srgbClr val="000000"/>
                    </a:solidFill>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Model'!$B$26:$K$26</c:f>
              <c:numCache>
                <c:formatCode>#,##0;\(#,##0\);\-</c:formatCode>
                <c:ptCount val="10"/>
                <c:pt idx="0">
                  <c:v>309354</c:v>
                </c:pt>
                <c:pt idx="1">
                  <c:v>392148</c:v>
                </c:pt>
                <c:pt idx="2">
                  <c:v>491955</c:v>
                </c:pt>
                <c:pt idx="3">
                  <c:v>619000</c:v>
                </c:pt>
                <c:pt idx="4">
                  <c:v>742862</c:v>
                </c:pt>
                <c:pt idx="5">
                  <c:v>861719.92</c:v>
                </c:pt>
                <c:pt idx="6">
                  <c:v>990977.908</c:v>
                </c:pt>
                <c:pt idx="7">
                  <c:v>1129714.81512</c:v>
                </c:pt>
                <c:pt idx="8">
                  <c:v>1276577.7410856</c:v>
                </c:pt>
                <c:pt idx="9">
                  <c:v>1429767.07001587</c:v>
                </c:pt>
              </c:numCache>
            </c:numRef>
          </c:val>
        </c:ser>
        <c:axId val="97406417"/>
        <c:axId val="64627521"/>
      </c:areaChart>
      <c:catAx>
        <c:axId val="974064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4627521"/>
        <c:crosses val="autoZero"/>
        <c:auto val="1"/>
        <c:lblAlgn val="ctr"/>
        <c:lblOffset val="100"/>
        <c:noMultiLvlLbl val="0"/>
      </c:catAx>
      <c:valAx>
        <c:axId val="64627521"/>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406417"/>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Advances by Geography</a:t>
            </a:r>
          </a:p>
        </c:rich>
      </c:tx>
      <c:overlay val="0"/>
      <c:spPr>
        <a:noFill/>
        <a:ln w="0">
          <a:noFill/>
        </a:ln>
      </c:spPr>
    </c:title>
    <c:autoTitleDeleted val="0"/>
    <c:plotArea>
      <c:barChart>
        <c:barDir val="col"/>
        <c:grouping val="stacked"/>
        <c:varyColors val="0"/>
        <c:ser>
          <c:idx val="0"/>
          <c:order val="0"/>
          <c:tx>
            <c:strRef>
              <c:f>'Revenue Model'!A71</c:f>
              <c:strCache>
                <c:ptCount val="1"/>
                <c:pt idx="0">
                  <c:v>Domestic Advances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Model'!$B$71:$K$71</c:f>
              <c:numCache>
                <c:formatCode>#,##0;\(#,##0\);\-</c:formatCode>
                <c:ptCount val="10"/>
                <c:pt idx="0">
                  <c:v>2502952</c:v>
                </c:pt>
                <c:pt idx="1">
                  <c:v>2875752</c:v>
                </c:pt>
                <c:pt idx="2">
                  <c:v>3292315</c:v>
                </c:pt>
                <c:pt idx="3">
                  <c:v>3602000</c:v>
                </c:pt>
                <c:pt idx="4">
                  <c:v>4189138</c:v>
                </c:pt>
                <c:pt idx="5">
                  <c:v>4780053.53</c:v>
                </c:pt>
                <c:pt idx="6">
                  <c:v>5424565.2196</c:v>
                </c:pt>
                <c:pt idx="7">
                  <c:v>6130750.712766</c:v>
                </c:pt>
                <c:pt idx="8">
                  <c:v>6912523.82643831</c:v>
                </c:pt>
                <c:pt idx="9">
                  <c:v>7769763.82200915</c:v>
                </c:pt>
              </c:numCache>
            </c:numRef>
          </c:val>
        </c:ser>
        <c:ser>
          <c:idx val="1"/>
          <c:order val="1"/>
          <c:tx>
            <c:strRef>
              <c:f>'Revenue Model'!A76</c:f>
              <c:strCache>
                <c:ptCount val="1"/>
                <c:pt idx="0">
                  <c:v>International Advances</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Model'!$B$76:$K$76</c:f>
              <c:numCache>
                <c:formatCode>#,##0;\(#,##0\);\-</c:formatCode>
                <c:ptCount val="10"/>
                <c:pt idx="0">
                  <c:v>309354</c:v>
                </c:pt>
                <c:pt idx="1">
                  <c:v>392148</c:v>
                </c:pt>
                <c:pt idx="2">
                  <c:v>491955</c:v>
                </c:pt>
                <c:pt idx="3">
                  <c:v>619000</c:v>
                </c:pt>
                <c:pt idx="4">
                  <c:v>742862</c:v>
                </c:pt>
                <c:pt idx="5">
                  <c:v>861719.92</c:v>
                </c:pt>
                <c:pt idx="6">
                  <c:v>990977.908</c:v>
                </c:pt>
                <c:pt idx="7">
                  <c:v>1129714.81512</c:v>
                </c:pt>
                <c:pt idx="8">
                  <c:v>1276577.7410856</c:v>
                </c:pt>
                <c:pt idx="9">
                  <c:v>1429767.07001587</c:v>
                </c:pt>
              </c:numCache>
            </c:numRef>
          </c:val>
        </c:ser>
        <c:gapWidth val="150"/>
        <c:overlap val="100"/>
        <c:axId val="62869794"/>
        <c:axId val="72416850"/>
      </c:barChart>
      <c:catAx>
        <c:axId val="6286979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2416850"/>
        <c:crosses val="autoZero"/>
        <c:auto val="1"/>
        <c:lblAlgn val="ctr"/>
        <c:lblOffset val="100"/>
        <c:noMultiLvlLbl val="0"/>
      </c:catAx>
      <c:valAx>
        <c:axId val="7241685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8697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Deposit Mix (CASA vs. Term)</a:t>
            </a:r>
          </a:p>
        </c:rich>
      </c:tx>
      <c:overlay val="0"/>
      <c:spPr>
        <a:noFill/>
        <a:ln w="0">
          <a:noFill/>
        </a:ln>
      </c:spPr>
    </c:title>
    <c:autoTitleDeleted val="0"/>
    <c:plotArea>
      <c:barChart>
        <c:barDir val="col"/>
        <c:grouping val="stacked"/>
        <c:varyColors val="0"/>
        <c:ser>
          <c:idx val="0"/>
          <c:order val="0"/>
          <c:tx>
            <c:strRef>
              <c:f>'Revenue Model'!A42</c:f>
              <c:strCache>
                <c:ptCount val="1"/>
                <c:pt idx="0">
                  <c:v>CASA Deposits — Balance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Model'!$B$42:$K$42</c:f>
              <c:numCache>
                <c:formatCode>#,##0;\(#,##0\);\-</c:formatCode>
                <c:ptCount val="10"/>
                <c:pt idx="0">
                  <c:v>1836560</c:v>
                </c:pt>
                <c:pt idx="1">
                  <c:v>1903598</c:v>
                </c:pt>
                <c:pt idx="2">
                  <c:v>2026348</c:v>
                </c:pt>
                <c:pt idx="3">
                  <c:v>2151185</c:v>
                </c:pt>
                <c:pt idx="4">
                  <c:v>2357735</c:v>
                </c:pt>
                <c:pt idx="5">
                  <c:v>2609880</c:v>
                </c:pt>
                <c:pt idx="6">
                  <c:v>2887631.46</c:v>
                </c:pt>
                <c:pt idx="7">
                  <c:v>3203069.7545</c:v>
                </c:pt>
                <c:pt idx="8">
                  <c:v>3555407.427495</c:v>
                </c:pt>
                <c:pt idx="9">
                  <c:v>3946502.24451945</c:v>
                </c:pt>
              </c:numCache>
            </c:numRef>
          </c:val>
        </c:ser>
        <c:ser>
          <c:idx val="1"/>
          <c:order val="1"/>
          <c:tx>
            <c:strRef>
              <c:f>'Revenue Model'!A43</c:f>
              <c:strCache>
                <c:ptCount val="1"/>
                <c:pt idx="0">
                  <c:v>Term Deposits — Balance</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Model'!$B$43:$K$43</c:f>
              <c:numCache>
                <c:formatCode>#,##0;\(#,##0\);\-</c:formatCode>
                <c:ptCount val="10"/>
                <c:pt idx="0">
                  <c:v>2214974</c:v>
                </c:pt>
                <c:pt idx="1">
                  <c:v>2564942</c:v>
                </c:pt>
                <c:pt idx="2">
                  <c:v>2940192</c:v>
                </c:pt>
                <c:pt idx="3">
                  <c:v>3230815</c:v>
                </c:pt>
                <c:pt idx="4">
                  <c:v>3617265</c:v>
                </c:pt>
                <c:pt idx="5">
                  <c:v>4082120</c:v>
                </c:pt>
                <c:pt idx="6">
                  <c:v>4573948.54</c:v>
                </c:pt>
                <c:pt idx="7">
                  <c:v>5116591.9455</c:v>
                </c:pt>
                <c:pt idx="8">
                  <c:v>5679417.059505</c:v>
                </c:pt>
                <c:pt idx="9">
                  <c:v>6304152.93605055</c:v>
                </c:pt>
              </c:numCache>
            </c:numRef>
          </c:val>
        </c:ser>
        <c:gapWidth val="150"/>
        <c:overlap val="100"/>
        <c:axId val="57342906"/>
        <c:axId val="7907405"/>
      </c:barChart>
      <c:catAx>
        <c:axId val="5734290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07405"/>
        <c:crosses val="autoZero"/>
        <c:auto val="1"/>
        <c:lblAlgn val="ctr"/>
        <c:lblOffset val="100"/>
        <c:noMultiLvlLbl val="0"/>
      </c:catAx>
      <c:valAx>
        <c:axId val="790740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734290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Advances &amp; Deposits</a:t>
            </a:r>
          </a:p>
        </c:rich>
      </c:tx>
      <c:overlay val="0"/>
      <c:spPr>
        <a:noFill/>
        <a:ln w="0">
          <a:noFill/>
        </a:ln>
      </c:spPr>
    </c:title>
    <c:autoTitleDeleted val="0"/>
    <c:plotArea>
      <c:lineChart>
        <c:grouping val="standard"/>
        <c:varyColors val="0"/>
        <c:ser>
          <c:idx val="0"/>
          <c:order val="0"/>
          <c:tx>
            <c:strRef>
              <c:f>'Revenue Model'!A28</c:f>
              <c:strCache>
                <c:ptCount val="1"/>
                <c:pt idx="0">
                  <c:v>TOTAL GROSS ADVANCES (WHOLE BANK)</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Model'!$B$28:$K$28</c:f>
              <c:numCache>
                <c:formatCode>#,##0;\(#,##0\);\-</c:formatCode>
                <c:ptCount val="10"/>
                <c:pt idx="0">
                  <c:v>2812306</c:v>
                </c:pt>
                <c:pt idx="1">
                  <c:v>3267900</c:v>
                </c:pt>
                <c:pt idx="2">
                  <c:v>3784270</c:v>
                </c:pt>
                <c:pt idx="3">
                  <c:v>4221000</c:v>
                </c:pt>
                <c:pt idx="4">
                  <c:v>4932000</c:v>
                </c:pt>
                <c:pt idx="5">
                  <c:v>5641773.45</c:v>
                </c:pt>
                <c:pt idx="6">
                  <c:v>6415543.1276</c:v>
                </c:pt>
                <c:pt idx="7">
                  <c:v>7260465.527886</c:v>
                </c:pt>
                <c:pt idx="8">
                  <c:v>8189101.56752391</c:v>
                </c:pt>
                <c:pt idx="9">
                  <c:v>9199530.89202503</c:v>
                </c:pt>
              </c:numCache>
            </c:numRef>
          </c:val>
          <c:smooth val="0"/>
        </c:ser>
        <c:ser>
          <c:idx val="1"/>
          <c:order val="1"/>
          <c:tx>
            <c:strRef>
              <c:f>'Revenue Model'!A40</c:f>
              <c:strCache>
                <c:ptCount val="1"/>
                <c:pt idx="0">
                  <c:v>Total Deposits — Balance</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Model'!$B$40:$K$40</c:f>
              <c:numCache>
                <c:formatCode>#,##0;\(#,##0\);\-</c:formatCode>
                <c:ptCount val="10"/>
                <c:pt idx="0">
                  <c:v>4051534</c:v>
                </c:pt>
                <c:pt idx="1">
                  <c:v>4468540</c:v>
                </c:pt>
                <c:pt idx="2">
                  <c:v>4966540</c:v>
                </c:pt>
                <c:pt idx="3">
                  <c:v>5382000</c:v>
                </c:pt>
                <c:pt idx="4">
                  <c:v>5975000</c:v>
                </c:pt>
                <c:pt idx="5">
                  <c:v>6692000</c:v>
                </c:pt>
                <c:pt idx="6">
                  <c:v>7461580</c:v>
                </c:pt>
                <c:pt idx="7">
                  <c:v>8319661.7</c:v>
                </c:pt>
                <c:pt idx="8">
                  <c:v>9234824.487</c:v>
                </c:pt>
                <c:pt idx="9">
                  <c:v>10250655.18057</c:v>
                </c:pt>
              </c:numCache>
            </c:numRef>
          </c:val>
          <c:smooth val="0"/>
        </c:ser>
        <c:hiLowLines>
          <c:spPr>
            <a:ln w="0">
              <a:noFill/>
            </a:ln>
          </c:spPr>
        </c:hiLowLines>
        <c:marker val="1"/>
        <c:axId val="11697658"/>
        <c:axId val="85890218"/>
      </c:lineChart>
      <c:catAx>
        <c:axId val="1169765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5890218"/>
        <c:crosses val="autoZero"/>
        <c:auto val="1"/>
        <c:lblAlgn val="ctr"/>
        <c:lblOffset val="100"/>
        <c:noMultiLvlLbl val="0"/>
      </c:catAx>
      <c:valAx>
        <c:axId val="8589021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16976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Domestic NIM Trend</a:t>
            </a:r>
          </a:p>
        </c:rich>
      </c:tx>
      <c:overlay val="0"/>
      <c:spPr>
        <a:noFill/>
        <a:ln w="0">
          <a:noFill/>
        </a:ln>
      </c:spPr>
    </c:title>
    <c:autoTitleDeleted val="0"/>
    <c:plotArea>
      <c:lineChart>
        <c:grouping val="standard"/>
        <c:varyColors val="0"/>
        <c:ser>
          <c:idx val="0"/>
          <c:order val="0"/>
          <c:tx>
            <c:strRef>
              <c:f>'Revenue Model'!A54</c:f>
              <c:strCache>
                <c:ptCount val="1"/>
                <c:pt idx="0">
                  <c:v>Domestic Net Interest Margin % (memo, NII / avg. domestic advances)</c:v>
                </c:pt>
              </c:strCache>
            </c:strRef>
          </c:tx>
          <c:spPr>
            <a:solidFill>
              <a:srgbClr val="ffffff"/>
            </a:solidFill>
            <a:ln w="0">
              <a:solidFill>
                <a:srgbClr val="ffffff"/>
              </a:solidFill>
            </a:ln>
          </c:spPr>
          <c:marker>
            <c:symbol val="diamond"/>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Model'!$B$54:$K$54</c:f>
              <c:numCache>
                <c:formatCode>0.00%</c:formatCode>
                <c:ptCount val="10"/>
                <c:pt idx="0">
                  <c:v>0.0479194319347714</c:v>
                </c:pt>
                <c:pt idx="1">
                  <c:v>0.0500583742965318</c:v>
                </c:pt>
                <c:pt idx="2">
                  <c:v>0.0486137234742119</c:v>
                </c:pt>
                <c:pt idx="3">
                  <c:v>0.0463478192670738</c:v>
                </c:pt>
                <c:pt idx="4">
                  <c:v>0.0414911560564489</c:v>
                </c:pt>
                <c:pt idx="5">
                  <c:v>0.0437217428556705</c:v>
                </c:pt>
                <c:pt idx="6">
                  <c:v>0.0460865410937828</c:v>
                </c:pt>
                <c:pt idx="7">
                  <c:v>0.0485339361167224</c:v>
                </c:pt>
                <c:pt idx="8">
                  <c:v>0.0491768775599256</c:v>
                </c:pt>
                <c:pt idx="9">
                  <c:v>0.0493788016884669</c:v>
                </c:pt>
              </c:numCache>
            </c:numRef>
          </c:val>
          <c:smooth val="1"/>
        </c:ser>
        <c:hiLowLines>
          <c:spPr>
            <a:ln w="0">
              <a:noFill/>
            </a:ln>
          </c:spPr>
        </c:hiLowLines>
        <c:marker val="1"/>
        <c:axId val="34703458"/>
        <c:axId val="98267733"/>
      </c:lineChart>
      <c:catAx>
        <c:axId val="3470345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8267733"/>
        <c:crosses val="autoZero"/>
        <c:auto val="1"/>
        <c:lblAlgn val="ctr"/>
        <c:lblOffset val="100"/>
        <c:noMultiLvlLbl val="0"/>
      </c:catAx>
      <c:valAx>
        <c:axId val="98267733"/>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NIM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47034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Cost-to-Income Ratio</a:t>
            </a:r>
          </a:p>
        </c:rich>
      </c:tx>
      <c:overlay val="0"/>
      <c:spPr>
        <a:noFill/>
        <a:ln w="0">
          <a:noFill/>
        </a:ln>
      </c:spPr>
    </c:title>
    <c:autoTitleDeleted val="0"/>
    <c:plotArea>
      <c:lineChart>
        <c:grouping val="standard"/>
        <c:varyColors val="0"/>
        <c:ser>
          <c:idx val="0"/>
          <c:order val="0"/>
          <c:tx>
            <c:strRef>
              <c:f>'Income Statement'!A37</c:f>
              <c:strCache>
                <c:ptCount val="1"/>
                <c:pt idx="0">
                  <c:v>Cost-to-Income Ratio %</c:v>
                </c:pt>
              </c:strCache>
            </c:strRef>
          </c:tx>
          <c:spPr>
            <a:solidFill>
              <a:srgbClr val="ffffff"/>
            </a:solidFill>
            <a:ln w="0">
              <a:solidFill>
                <a:srgbClr val="ffffff"/>
              </a:solidFill>
            </a:ln>
          </c:spPr>
          <c:marker>
            <c:symbol val="square"/>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Statement'!$B$37:$K$37</c:f>
              <c:numCache>
                <c:formatCode>0.0%</c:formatCode>
                <c:ptCount val="10"/>
                <c:pt idx="0">
                  <c:v>0.563360817313521</c:v>
                </c:pt>
                <c:pt idx="1">
                  <c:v>0.573020167806758</c:v>
                </c:pt>
                <c:pt idx="2">
                  <c:v>0.549318562987335</c:v>
                </c:pt>
                <c:pt idx="3">
                  <c:v>0.526338405382515</c:v>
                </c:pt>
                <c:pt idx="4">
                  <c:v>0.524023354511104</c:v>
                </c:pt>
                <c:pt idx="5">
                  <c:v>0.514652311167881</c:v>
                </c:pt>
                <c:pt idx="6">
                  <c:v>0.480544557104583</c:v>
                </c:pt>
                <c:pt idx="7">
                  <c:v>0.449761611336754</c:v>
                </c:pt>
                <c:pt idx="8">
                  <c:v>0.432293721658976</c:v>
                </c:pt>
                <c:pt idx="9">
                  <c:v>0.419285669614381</c:v>
                </c:pt>
              </c:numCache>
            </c:numRef>
          </c:val>
          <c:smooth val="1"/>
        </c:ser>
        <c:hiLowLines>
          <c:spPr>
            <a:ln w="0">
              <a:noFill/>
            </a:ln>
          </c:spPr>
        </c:hiLowLines>
        <c:marker val="1"/>
        <c:axId val="4297944"/>
        <c:axId val="97347030"/>
      </c:lineChart>
      <c:catAx>
        <c:axId val="429794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347030"/>
        <c:crosses val="autoZero"/>
        <c:auto val="1"/>
        <c:lblAlgn val="ctr"/>
        <c:lblOffset val="100"/>
        <c:noMultiLvlLbl val="0"/>
      </c:catAx>
      <c:valAx>
        <c:axId val="9734703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Cost-to-Income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2979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&amp; Net NPA Ratio</a:t>
            </a:r>
          </a:p>
        </c:rich>
      </c:tx>
      <c:overlay val="0"/>
      <c:spPr>
        <a:noFill/>
        <a:ln w="0">
          <a:noFill/>
        </a:ln>
      </c:spPr>
    </c:title>
    <c:autoTitleDeleted val="0"/>
    <c:plotArea>
      <c:lineChart>
        <c:grouping val="standard"/>
        <c:varyColors val="0"/>
        <c:ser>
          <c:idx val="0"/>
          <c:order val="0"/>
          <c:tx>
            <c:strRef>
              <c:f>'Balance Sheet'!A40</c:f>
              <c:strCache>
                <c:ptCount val="1"/>
                <c:pt idx="0">
                  <c:v>Gross NPA Ratio % (memo)</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Sheet'!$B$40:$K$40</c:f>
              <c:numCache>
                <c:formatCode>0.00%</c:formatCode>
                <c:ptCount val="10"/>
                <c:pt idx="0">
                  <c:v>0.0397</c:v>
                </c:pt>
                <c:pt idx="1">
                  <c:v>0.0278</c:v>
                </c:pt>
                <c:pt idx="2">
                  <c:v>0.0224</c:v>
                </c:pt>
                <c:pt idx="3">
                  <c:v>0.0182</c:v>
                </c:pt>
                <c:pt idx="4">
                  <c:v>0.0149</c:v>
                </c:pt>
                <c:pt idx="5">
                  <c:v>0.0145</c:v>
                </c:pt>
                <c:pt idx="6">
                  <c:v>0.0142</c:v>
                </c:pt>
                <c:pt idx="7">
                  <c:v>0.014</c:v>
                </c:pt>
                <c:pt idx="8">
                  <c:v>0.014</c:v>
                </c:pt>
                <c:pt idx="9">
                  <c:v>0.014</c:v>
                </c:pt>
              </c:numCache>
            </c:numRef>
          </c:val>
          <c:smooth val="1"/>
        </c:ser>
        <c:ser>
          <c:idx val="1"/>
          <c:order val="1"/>
          <c:tx>
            <c:strRef>
              <c:f>'Balance Sheet'!A41</c:f>
              <c:strCache>
                <c:ptCount val="1"/>
                <c:pt idx="0">
                  <c:v>Net NPA Ratio % (memo)</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Sheet'!$B$41:$K$41</c:f>
              <c:numCache>
                <c:formatCode>0.00%</c:formatCode>
                <c:ptCount val="10"/>
                <c:pt idx="0">
                  <c:v>0.0102</c:v>
                </c:pt>
                <c:pt idx="1">
                  <c:v>0.0067</c:v>
                </c:pt>
                <c:pt idx="2">
                  <c:v>0.0057</c:v>
                </c:pt>
                <c:pt idx="3">
                  <c:v>0.0047</c:v>
                </c:pt>
                <c:pt idx="4">
                  <c:v>0.0039</c:v>
                </c:pt>
                <c:pt idx="5">
                  <c:v>0.0038</c:v>
                </c:pt>
                <c:pt idx="6">
                  <c:v>0.0037</c:v>
                </c:pt>
                <c:pt idx="7">
                  <c:v>0.0036</c:v>
                </c:pt>
                <c:pt idx="8">
                  <c:v>0.0036</c:v>
                </c:pt>
                <c:pt idx="9">
                  <c:v>0.0036</c:v>
                </c:pt>
              </c:numCache>
            </c:numRef>
          </c:val>
          <c:smooth val="1"/>
        </c:ser>
        <c:hiLowLines>
          <c:spPr>
            <a:ln w="0">
              <a:noFill/>
            </a:ln>
          </c:spPr>
        </c:hiLowLines>
        <c:marker val="1"/>
        <c:axId val="49087333"/>
        <c:axId val="76164194"/>
      </c:lineChart>
      <c:catAx>
        <c:axId val="490873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164194"/>
        <c:crosses val="autoZero"/>
        <c:auto val="1"/>
        <c:lblAlgn val="ctr"/>
        <c:lblOffset val="100"/>
        <c:noMultiLvlLbl val="0"/>
      </c:catAx>
      <c:valAx>
        <c:axId val="7616419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NPA Ratio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90873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Provision Coverage Ratio (PCR)</a:t>
            </a:r>
          </a:p>
        </c:rich>
      </c:tx>
      <c:overlay val="0"/>
      <c:spPr>
        <a:noFill/>
        <a:ln w="0">
          <a:noFill/>
        </a:ln>
      </c:spPr>
    </c:title>
    <c:autoTitleDeleted val="0"/>
    <c:plotArea>
      <c:lineChart>
        <c:grouping val="standard"/>
        <c:varyColors val="0"/>
        <c:ser>
          <c:idx val="0"/>
          <c:order val="0"/>
          <c:tx>
            <c:strRef>
              <c:f>'Balance Sheet'!A42</c:f>
              <c:strCache>
                <c:ptCount val="1"/>
                <c:pt idx="0">
                  <c:v>Provision Coverage Ratio % (memo)</c:v>
                </c:pt>
              </c:strCache>
            </c:strRef>
          </c:tx>
          <c:spPr>
            <a:solidFill>
              <a:srgbClr val="ffffff"/>
            </a:solidFill>
            <a:ln w="0">
              <a:solidFill>
                <a:srgbClr val="ffffff"/>
              </a:solidFill>
            </a:ln>
          </c:spPr>
          <c:marker>
            <c:symbol val="triangle"/>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Sheet'!$B$42:$K$42</c:f>
              <c:numCache>
                <c:formatCode>0.0%</c:formatCode>
                <c:ptCount val="10"/>
                <c:pt idx="0">
                  <c:v>0.753</c:v>
                </c:pt>
                <c:pt idx="1">
                  <c:v>0.768</c:v>
                </c:pt>
                <c:pt idx="2">
                  <c:v>0.755</c:v>
                </c:pt>
                <c:pt idx="3">
                  <c:v>0.7442</c:v>
                </c:pt>
                <c:pt idx="4">
                  <c:v>0.7436</c:v>
                </c:pt>
                <c:pt idx="5">
                  <c:v>0.745</c:v>
                </c:pt>
                <c:pt idx="6">
                  <c:v>0.745</c:v>
                </c:pt>
                <c:pt idx="7">
                  <c:v>0.745</c:v>
                </c:pt>
                <c:pt idx="8">
                  <c:v>0.745</c:v>
                </c:pt>
                <c:pt idx="9">
                  <c:v>0.745</c:v>
                </c:pt>
              </c:numCache>
            </c:numRef>
          </c:val>
          <c:smooth val="1"/>
        </c:ser>
        <c:hiLowLines>
          <c:spPr>
            <a:ln w="0">
              <a:noFill/>
            </a:ln>
          </c:spPr>
        </c:hiLowLines>
        <c:marker val="1"/>
        <c:axId val="2066955"/>
        <c:axId val="3030374"/>
      </c:lineChart>
      <c:catAx>
        <c:axId val="206695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030374"/>
        <c:crosses val="autoZero"/>
        <c:auto val="1"/>
        <c:lblAlgn val="ctr"/>
        <c:lblOffset val="100"/>
        <c:noMultiLvlLbl val="0"/>
      </c:catAx>
      <c:valAx>
        <c:axId val="303037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PCR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06695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Capital Adequacy Trend</a:t>
            </a:r>
          </a:p>
        </c:rich>
      </c:tx>
      <c:overlay val="0"/>
      <c:spPr>
        <a:noFill/>
        <a:ln w="0">
          <a:noFill/>
        </a:ln>
      </c:spPr>
    </c:title>
    <c:autoTitleDeleted val="0"/>
    <c:plotArea>
      <c:lineChart>
        <c:grouping val="standard"/>
        <c:varyColors val="0"/>
        <c:ser>
          <c:idx val="0"/>
          <c:order val="0"/>
          <c:tx>
            <c:strRef>
              <c:f>'Balance Sheet'!A53</c:f>
              <c:strCache>
                <c:ptCount val="1"/>
                <c:pt idx="0">
                  <c:v>CET1 Ratio %</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Sheet'!$B$53:$K$53</c:f>
              <c:numCache>
                <c:formatCode>0.00%</c:formatCode>
                <c:ptCount val="10"/>
                <c:pt idx="0">
                  <c:v>0.0971</c:v>
                </c:pt>
                <c:pt idx="1">
                  <c:v>0.1013</c:v>
                </c:pt>
                <c:pt idx="2">
                  <c:v>0.1036</c:v>
                </c:pt>
                <c:pt idx="3">
                  <c:v>0.1081</c:v>
                </c:pt>
                <c:pt idx="4">
                  <c:v>0.114</c:v>
                </c:pt>
                <c:pt idx="5">
                  <c:v>0.150859725395188</c:v>
                </c:pt>
                <c:pt idx="6">
                  <c:v>0.15358792611517</c:v>
                </c:pt>
                <c:pt idx="7">
                  <c:v>0.158744408113657</c:v>
                </c:pt>
                <c:pt idx="8">
                  <c:v>0.164800607939671</c:v>
                </c:pt>
                <c:pt idx="9">
                  <c:v>0.171413826402025</c:v>
                </c:pt>
              </c:numCache>
            </c:numRef>
          </c:val>
          <c:smooth val="1"/>
        </c:ser>
        <c:ser>
          <c:idx val="1"/>
          <c:order val="1"/>
          <c:tx>
            <c:strRef>
              <c:f>'Balance Sheet'!A54</c:f>
              <c:strCache>
                <c:ptCount val="1"/>
                <c:pt idx="0">
                  <c:v>Tier 1 Capital Ratio %</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Sheet'!$B$54:$K$54</c:f>
              <c:numCache>
                <c:formatCode>0.00%</c:formatCode>
                <c:ptCount val="10"/>
                <c:pt idx="0">
                  <c:v>0.112</c:v>
                </c:pt>
                <c:pt idx="1">
                  <c:v>0.1198</c:v>
                </c:pt>
                <c:pt idx="2">
                  <c:v>0.121</c:v>
                </c:pt>
                <c:pt idx="3">
                  <c:v>0.126</c:v>
                </c:pt>
                <c:pt idx="4">
                  <c:v>0.135</c:v>
                </c:pt>
                <c:pt idx="5">
                  <c:v>0.135</c:v>
                </c:pt>
                <c:pt idx="6">
                  <c:v>0.135</c:v>
                </c:pt>
                <c:pt idx="7">
                  <c:v>0.135</c:v>
                </c:pt>
                <c:pt idx="8">
                  <c:v>0.135</c:v>
                </c:pt>
                <c:pt idx="9">
                  <c:v>0.135</c:v>
                </c:pt>
              </c:numCache>
            </c:numRef>
          </c:val>
          <c:smooth val="1"/>
        </c:ser>
        <c:ser>
          <c:idx val="2"/>
          <c:order val="2"/>
          <c:tx>
            <c:strRef>
              <c:f>'Balance Sheet'!A55</c:f>
              <c:strCache>
                <c:ptCount val="1"/>
                <c:pt idx="0">
                  <c:v>Total Capital Adequacy Ratio (CAR) % (guided, Assumptions)</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Sheet'!$B$55:$K$55</c:f>
              <c:numCache>
                <c:formatCode>0.0%</c:formatCode>
                <c:ptCount val="10"/>
                <c:pt idx="0">
                  <c:v>0.1383</c:v>
                </c:pt>
                <c:pt idx="1">
                  <c:v>0.1468</c:v>
                </c:pt>
                <c:pt idx="2">
                  <c:v>0.1428</c:v>
                </c:pt>
                <c:pt idx="3">
                  <c:v>0.1425</c:v>
                </c:pt>
                <c:pt idx="4">
                  <c:v>0.154</c:v>
                </c:pt>
                <c:pt idx="5">
                  <c:v>0.152</c:v>
                </c:pt>
                <c:pt idx="6">
                  <c:v>0.153</c:v>
                </c:pt>
                <c:pt idx="7">
                  <c:v>0.154</c:v>
                </c:pt>
                <c:pt idx="8">
                  <c:v>0.154</c:v>
                </c:pt>
                <c:pt idx="9">
                  <c:v>0.155</c:v>
                </c:pt>
              </c:numCache>
            </c:numRef>
          </c:val>
          <c:smooth val="1"/>
        </c:ser>
        <c:hiLowLines>
          <c:spPr>
            <a:ln w="0">
              <a:noFill/>
            </a:ln>
          </c:spPr>
        </c:hiLowLines>
        <c:marker val="1"/>
        <c:axId val="77204035"/>
        <c:axId val="91116092"/>
      </c:lineChart>
      <c:catAx>
        <c:axId val="772040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1116092"/>
        <c:crosses val="autoZero"/>
        <c:auto val="1"/>
        <c:lblAlgn val="ctr"/>
        <c:lblOffset val="100"/>
        <c:noMultiLvlLbl val="0"/>
      </c:catAx>
      <c:valAx>
        <c:axId val="9111609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Ratio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2040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CASA Ratio Trend</a:t>
            </a:r>
          </a:p>
        </c:rich>
      </c:tx>
      <c:overlay val="0"/>
      <c:spPr>
        <a:noFill/>
        <a:ln w="0">
          <a:noFill/>
        </a:ln>
      </c:spPr>
    </c:title>
    <c:autoTitleDeleted val="0"/>
    <c:plotArea>
      <c:lineChart>
        <c:grouping val="standard"/>
        <c:varyColors val="0"/>
        <c:ser>
          <c:idx val="0"/>
          <c:order val="0"/>
          <c:tx>
            <c:strRef>
              <c:f>'Balance Sheet'!A16</c:f>
              <c:strCache>
                <c:ptCount val="1"/>
                <c:pt idx="0">
                  <c:v>CASA Ratio % (memo)</c:v>
                </c:pt>
              </c:strCache>
            </c:strRef>
          </c:tx>
          <c:spPr>
            <a:solidFill>
              <a:srgbClr val="ffffff"/>
            </a:solidFill>
            <a:ln w="0">
              <a:solidFill>
                <a:srgbClr val="ffffff"/>
              </a:solidFill>
            </a:ln>
          </c:spPr>
          <c:marker>
            <c:symbol val="diamond"/>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'Balance Sheet'!$B$16:$K$16</c:f>
              <c:numCache>
                <c:formatCode>0.0%</c:formatCode>
                <c:ptCount val="10"/>
                <c:pt idx="0">
                  <c:v>0.453299910601762</c:v>
                </c:pt>
                <c:pt idx="1">
                  <c:v>0.42599999104853</c:v>
                </c:pt>
                <c:pt idx="2">
                  <c:v>0.407999935568827</c:v>
                </c:pt>
                <c:pt idx="3">
                  <c:v>0.399699925678187</c:v>
                </c:pt>
                <c:pt idx="4">
                  <c:v>0.3946</c:v>
                </c:pt>
                <c:pt idx="5">
                  <c:v>0.39</c:v>
                </c:pt>
                <c:pt idx="6">
                  <c:v>0.387</c:v>
                </c:pt>
                <c:pt idx="7">
                  <c:v>0.385</c:v>
                </c:pt>
                <c:pt idx="8">
                  <c:v>0.385</c:v>
                </c:pt>
                <c:pt idx="9">
                  <c:v>0.385</c:v>
                </c:pt>
              </c:numCache>
            </c:numRef>
          </c:val>
          <c:smooth val="1"/>
        </c:ser>
        <c:hiLowLines>
          <c:spPr>
            <a:ln w="0">
              <a:noFill/>
            </a:ln>
          </c:spPr>
        </c:hiLowLines>
        <c:marker val="1"/>
        <c:axId val="98334099"/>
        <c:axId val="70516389"/>
      </c:lineChart>
      <c:catAx>
        <c:axId val="9833409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0516389"/>
        <c:crosses val="autoZero"/>
        <c:auto val="1"/>
        <c:lblAlgn val="ctr"/>
        <c:lblOffset val="100"/>
        <c:noMultiLvlLbl val="0"/>
      </c:catAx>
      <c:valAx>
        <c:axId val="7051638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CASA Ratio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833409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Profit (PAT) Trend</a:t>
            </a:r>
          </a:p>
        </c:rich>
      </c:tx>
      <c:overlay val="0"/>
      <c:spPr>
        <a:noFill/>
        <a:ln w="0">
          <a:noFill/>
        </a:ln>
      </c:spPr>
    </c:title>
    <c:autoTitleDeleted val="0"/>
    <c:plotArea>
      <c:barChart>
        <c:barDir val="col"/>
        <c:grouping val="clustered"/>
        <c:varyColors val="0"/>
        <c:ser>
          <c:idx val="0"/>
          <c:order val="0"/>
          <c:tx>
            <c:strRef>
              <c:f>'Income Statement'!A51</c:f>
              <c:strCache>
                <c:ptCount val="1"/>
                <c:pt idx="0">
                  <c:v>NET PROFIT (PAT)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Statement'!$B$51:$K$51</c:f>
              <c:numCache>
                <c:formatCode>#,##0;\(#,##0\);\-</c:formatCode>
                <c:ptCount val="10"/>
                <c:pt idx="0">
                  <c:v>31634.98584</c:v>
                </c:pt>
                <c:pt idx="1">
                  <c:v>50198.75109</c:v>
                </c:pt>
                <c:pt idx="2">
                  <c:v>61115.856868</c:v>
                </c:pt>
                <c:pt idx="3">
                  <c:v>70859.42006</c:v>
                </c:pt>
                <c:pt idx="4">
                  <c:v>80041.369518</c:v>
                </c:pt>
                <c:pt idx="5">
                  <c:v>82651.97500318</c:v>
                </c:pt>
                <c:pt idx="6">
                  <c:v>106018.870937864</c:v>
                </c:pt>
                <c:pt idx="7">
                  <c:v>132062.637158831</c:v>
                </c:pt>
                <c:pt idx="8">
                  <c:v>155600.739683239</c:v>
                </c:pt>
                <c:pt idx="9">
                  <c:v>179569.27667357</c:v>
                </c:pt>
              </c:numCache>
            </c:numRef>
          </c:val>
        </c:ser>
        <c:gapWidth val="150"/>
        <c:overlap val="0"/>
        <c:axId val="28787545"/>
        <c:axId val="14523840"/>
      </c:barChart>
      <c:catAx>
        <c:axId val="2878754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523840"/>
        <c:crosses val="autoZero"/>
        <c:auto val="1"/>
        <c:lblAlgn val="ctr"/>
        <c:lblOffset val="100"/>
        <c:noMultiLvlLbl val="0"/>
      </c:catAx>
      <c:valAx>
        <c:axId val="1452384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87875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Basic EPS Trend</a:t>
            </a:r>
          </a:p>
        </c:rich>
      </c:tx>
      <c:overlay val="0"/>
      <c:spPr>
        <a:noFill/>
        <a:ln w="0">
          <a:noFill/>
        </a:ln>
      </c:spPr>
    </c:title>
    <c:autoTitleDeleted val="0"/>
    <c:plotArea>
      <c:barChart>
        <c:barDir val="col"/>
        <c:grouping val="clustered"/>
        <c:varyColors val="0"/>
        <c:ser>
          <c:idx val="0"/>
          <c:order val="0"/>
          <c:tx>
            <c:strRef>
              <c:f>'Income Statement'!A58</c:f>
              <c:strCache>
                <c:ptCount val="1"/>
                <c:pt idx="0">
                  <c:v>Basic EPS (₹)</c:v>
                </c:pt>
              </c:strCache>
            </c:strRef>
          </c:tx>
          <c:spPr>
            <a:solidFill>
              <a:srgbClr val="bf8f0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Statement'!$B$58:$K$58</c:f>
              <c:numCache>
                <c:formatCode>\₹#,##0.00</c:formatCode>
                <c:ptCount val="10"/>
                <c:pt idx="0">
                  <c:v>35.4469509445802</c:v>
                </c:pt>
                <c:pt idx="1">
                  <c:v>56.2476201622481</c:v>
                </c:pt>
                <c:pt idx="2">
                  <c:v>68.4802196938798</c:v>
                </c:pt>
                <c:pt idx="3">
                  <c:v>79.3978666382807</c:v>
                </c:pt>
                <c:pt idx="4">
                  <c:v>88.0349422767268</c:v>
                </c:pt>
                <c:pt idx="5">
                  <c:v>90.9062637518477</c:v>
                </c:pt>
                <c:pt idx="6">
                  <c:v>116.606765219824</c:v>
                </c:pt>
                <c:pt idx="7">
                  <c:v>145.251470698231</c:v>
                </c:pt>
                <c:pt idx="8">
                  <c:v>171.140276818345</c:v>
                </c:pt>
                <c:pt idx="9">
                  <c:v>197.502504040442</c:v>
                </c:pt>
              </c:numCache>
            </c:numRef>
          </c:val>
        </c:ser>
        <c:gapWidth val="150"/>
        <c:overlap val="0"/>
        <c:axId val="29269141"/>
        <c:axId val="1060845"/>
      </c:barChart>
      <c:catAx>
        <c:axId val="2926914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060845"/>
        <c:crosses val="autoZero"/>
        <c:auto val="1"/>
        <c:lblAlgn val="ctr"/>
        <c:lblOffset val="100"/>
        <c:noMultiLvlLbl val="0"/>
      </c:catAx>
      <c:valAx>
        <c:axId val="106084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share</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926914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ROA (primary axis) &amp; ROE (secondary axis)</a:t>
            </a:r>
          </a:p>
        </c:rich>
      </c:tx>
      <c:overlay val="0"/>
      <c:spPr>
        <a:noFill/>
        <a:ln w="0">
          <a:noFill/>
        </a:ln>
      </c:spPr>
    </c:title>
    <c:autoTitleDeleted val="0"/>
    <c:plotArea>
      <c:lineChart>
        <c:grouping val="standard"/>
        <c:varyColors val="0"/>
        <c:ser>
          <c:idx val="0"/>
          <c:order val="0"/>
          <c:tx>
            <c:strRef>
              <c:f>'Income Statement'!A62</c:f>
              <c:strCache>
                <c:ptCount val="1"/>
                <c:pt idx="0">
                  <c:v>Return on Assets (ROA) %</c:v>
                </c:pt>
              </c:strCache>
            </c:strRef>
          </c:tx>
          <c:spPr>
            <a:solidFill>
              <a:srgbClr val="ffffff"/>
            </a:solidFill>
            <a:ln w="0">
              <a:solidFill>
                <a:srgbClr val="ffffff"/>
              </a:solidFill>
            </a:ln>
          </c:spPr>
          <c:marker>
            <c:symbol val="circle"/>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Statement'!$B$62:$K$62</c:f>
              <c:numCache>
                <c:formatCode>0.00%</c:formatCode>
                <c:ptCount val="10"/>
                <c:pt idx="0">
                  <c:v>0.0067</c:v>
                </c:pt>
                <c:pt idx="1">
                  <c:v>0.0096</c:v>
                </c:pt>
                <c:pt idx="2">
                  <c:v>0.0104</c:v>
                </c:pt>
                <c:pt idx="3">
                  <c:v>0.011</c:v>
                </c:pt>
                <c:pt idx="4">
                  <c:v>0.0112</c:v>
                </c:pt>
                <c:pt idx="5">
                  <c:v>0.0107530596040468</c:v>
                </c:pt>
                <c:pt idx="6">
                  <c:v>0.0123337893151771</c:v>
                </c:pt>
                <c:pt idx="7">
                  <c:v>0.0137486124152875</c:v>
                </c:pt>
                <c:pt idx="8">
                  <c:v>0.0145162813392407</c:v>
                </c:pt>
                <c:pt idx="9">
                  <c:v>0.0150355037115339</c:v>
                </c:pt>
              </c:numCache>
            </c:numRef>
          </c:val>
          <c:smooth val="1"/>
        </c:ser>
        <c:hiLowLines>
          <c:spPr>
            <a:ln w="0">
              <a:noFill/>
            </a:ln>
          </c:spPr>
        </c:hiLowLines>
        <c:marker val="1"/>
        <c:axId val="83354584"/>
        <c:axId val="41315070"/>
      </c:lineChart>
      <c:lineChart>
        <c:grouping val="standard"/>
        <c:varyColors val="0"/>
        <c:ser>
          <c:idx val="1"/>
          <c:order val="1"/>
          <c:tx>
            <c:strRef>
              <c:f>'Income Statement'!A63</c:f>
              <c:strCache>
                <c:ptCount val="1"/>
                <c:pt idx="0">
                  <c:v>Return on Equity (ROE) %</c:v>
                </c:pt>
              </c:strCache>
            </c:strRef>
          </c:tx>
          <c:spPr>
            <a:solidFill>
              <a:srgbClr val="ffffff"/>
            </a:solidFill>
            <a:ln w="0">
              <a:solidFill>
                <a:srgbClr val="ffffff"/>
              </a:solidFill>
            </a:ln>
          </c:spPr>
          <c:marker>
            <c:symbol val="square"/>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Statement'!$B$63:$K$63</c:f>
              <c:numCache>
                <c:formatCode>0.0%</c:formatCode>
                <c:ptCount val="10"/>
                <c:pt idx="0">
                  <c:v>0.139</c:v>
                </c:pt>
                <c:pt idx="1">
                  <c:v>0.169</c:v>
                </c:pt>
                <c:pt idx="2">
                  <c:v>0.2032</c:v>
                </c:pt>
                <c:pt idx="3">
                  <c:v>0.1987</c:v>
                </c:pt>
                <c:pt idx="4">
                  <c:v>0.1857</c:v>
                </c:pt>
                <c:pt idx="5">
                  <c:v>0.166886648332194</c:v>
                </c:pt>
                <c:pt idx="6">
                  <c:v>0.18622522351606</c:v>
                </c:pt>
                <c:pt idx="7">
                  <c:v>0.199264165630775</c:v>
                </c:pt>
                <c:pt idx="8">
                  <c:v>0.200604456081107</c:v>
                </c:pt>
                <c:pt idx="9">
                  <c:v>0.197934932759053</c:v>
                </c:pt>
              </c:numCache>
            </c:numRef>
          </c:val>
          <c:smooth val="1"/>
        </c:ser>
        <c:hiLowLines>
          <c:spPr>
            <a:ln w="0">
              <a:noFill/>
            </a:ln>
          </c:spPr>
        </c:hiLowLines>
        <c:marker val="1"/>
        <c:axId val="99627384"/>
        <c:axId val="15976758"/>
      </c:lineChart>
      <c:catAx>
        <c:axId val="8335458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315070"/>
        <c:crosses val="autoZero"/>
        <c:auto val="1"/>
        <c:lblAlgn val="ctr"/>
        <c:lblOffset val="100"/>
        <c:noMultiLvlLbl val="0"/>
      </c:catAx>
      <c:valAx>
        <c:axId val="4131507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ROA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354584"/>
        <c:crosses val="autoZero"/>
        <c:crossBetween val="between"/>
      </c:valAx>
      <c:catAx>
        <c:axId val="99627384"/>
        <c:scaling>
          <c:orientation val="minMax"/>
        </c:scaling>
        <c:delete val="0"/>
        <c:axPos val="t"/>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976758"/>
        <c:crosses val="autoZero"/>
        <c:auto val="1"/>
        <c:lblAlgn val="ctr"/>
        <c:lblOffset val="100"/>
        <c:noMultiLvlLbl val="0"/>
      </c:catAx>
      <c:valAx>
        <c:axId val="15976758"/>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ROE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9627384"/>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DPS (bars) &amp; BVPS (line)</a:t>
            </a:r>
          </a:p>
        </c:rich>
      </c:tx>
      <c:overlay val="0"/>
      <c:spPr>
        <a:noFill/>
        <a:ln w="0">
          <a:noFill/>
        </a:ln>
      </c:spPr>
    </c:title>
    <c:autoTitleDeleted val="0"/>
    <c:plotArea>
      <c:barChart>
        <c:barDir val="col"/>
        <c:grouping val="clustered"/>
        <c:varyColors val="0"/>
        <c:ser>
          <c:idx val="0"/>
          <c:order val="0"/>
          <c:tx>
            <c:strRef>
              <c:f>'Income Statement'!A60</c:f>
              <c:strCache>
                <c:ptCount val="1"/>
                <c:pt idx="0">
                  <c:v>Dividend Per Share (₹)</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Statement'!$B$60:$K$60</c:f>
              <c:numCache>
                <c:formatCode>\₹#,##0.00</c:formatCode>
                <c:ptCount val="10"/>
                <c:pt idx="0">
                  <c:v>7.1</c:v>
                </c:pt>
                <c:pt idx="1">
                  <c:v>11.3</c:v>
                </c:pt>
                <c:pt idx="2">
                  <c:v>13.7</c:v>
                </c:pt>
                <c:pt idx="3">
                  <c:v>15.9</c:v>
                </c:pt>
                <c:pt idx="4">
                  <c:v>17.35</c:v>
                </c:pt>
                <c:pt idx="5">
                  <c:v>19.5448467066473</c:v>
                </c:pt>
                <c:pt idx="6">
                  <c:v>25.0704545222621</c:v>
                </c:pt>
                <c:pt idx="7">
                  <c:v>31.2290662001196</c:v>
                </c:pt>
                <c:pt idx="8">
                  <c:v>36.7951595159442</c:v>
                </c:pt>
                <c:pt idx="9">
                  <c:v>42.4630383686949</c:v>
                </c:pt>
              </c:numCache>
            </c:numRef>
          </c:val>
        </c:ser>
        <c:gapWidth val="150"/>
        <c:overlap val="0"/>
        <c:axId val="55713605"/>
        <c:axId val="85766269"/>
      </c:barChart>
      <c:lineChart>
        <c:grouping val="standard"/>
        <c:varyColors val="0"/>
        <c:ser>
          <c:idx val="1"/>
          <c:order val="1"/>
          <c:tx>
            <c:strRef>
              <c:f>'Income Statement'!A64</c:f>
              <c:strCache>
                <c:ptCount val="1"/>
                <c:pt idx="0">
                  <c:v>Book Value per Share (₹) (memo, linked from Balance Sheet)</c:v>
                </c:pt>
              </c:strCache>
            </c:strRef>
          </c:tx>
          <c:spPr>
            <a:solidFill>
              <a:srgbClr val="ffffff"/>
            </a:solidFill>
            <a:ln w="0">
              <a:solidFill>
                <a:srgbClr val="ffffff"/>
              </a:solidFill>
            </a:ln>
          </c:spPr>
          <c:marker>
            <c:symbol val="diamond"/>
            <c:size val="6"/>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Statement'!$B$64:$K$64</c:f>
              <c:numCache>
                <c:formatCode>\₹#,##0.00</c:formatCode>
                <c:ptCount val="10"/>
                <c:pt idx="0">
                  <c:v>255.344777356968</c:v>
                </c:pt>
                <c:pt idx="1">
                  <c:v>300.292397519217</c:v>
                </c:pt>
                <c:pt idx="2">
                  <c:v>355.072617213096</c:v>
                </c:pt>
                <c:pt idx="3">
                  <c:v>418.570483851377</c:v>
                </c:pt>
                <c:pt idx="4">
                  <c:v>509.045494430268</c:v>
                </c:pt>
                <c:pt idx="5">
                  <c:v>580.39173329685</c:v>
                </c:pt>
                <c:pt idx="6">
                  <c:v>671.928043994412</c:v>
                </c:pt>
                <c:pt idx="7">
                  <c:v>785.950448492523</c:v>
                </c:pt>
                <c:pt idx="8">
                  <c:v>920.295565794924</c:v>
                </c:pt>
                <c:pt idx="9">
                  <c:v>1075.33503146667</c:v>
                </c:pt>
              </c:numCache>
            </c:numRef>
          </c:val>
          <c:smooth val="1"/>
        </c:ser>
        <c:hiLowLines>
          <c:spPr>
            <a:ln w="0">
              <a:noFill/>
            </a:ln>
          </c:spPr>
        </c:hiLowLines>
        <c:marker val="1"/>
        <c:axId val="7508992"/>
        <c:axId val="97809177"/>
      </c:lineChart>
      <c:catAx>
        <c:axId val="557136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5766269"/>
        <c:crosses val="autoZero"/>
        <c:auto val="1"/>
        <c:lblAlgn val="ctr"/>
        <c:lblOffset val="100"/>
        <c:noMultiLvlLbl val="0"/>
      </c:catAx>
      <c:valAx>
        <c:axId val="8576626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DPS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5713605"/>
        <c:crosses val="autoZero"/>
        <c:crossBetween val="between"/>
      </c:valAx>
      <c:catAx>
        <c:axId val="7508992"/>
        <c:scaling>
          <c:orientation val="minMax"/>
        </c:scaling>
        <c:delete val="0"/>
        <c:axPos val="t"/>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7809177"/>
        <c:crosses val="autoZero"/>
        <c:auto val="1"/>
        <c:lblAlgn val="ctr"/>
        <c:lblOffset val="100"/>
        <c:noMultiLvlLbl val="0"/>
      </c:catAx>
      <c:valAx>
        <c:axId val="97809177"/>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BVPS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508992"/>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Non-Interest Income Composition</a:t>
            </a:r>
          </a:p>
        </c:rich>
      </c:tx>
      <c:overlay val="0"/>
      <c:spPr>
        <a:noFill/>
        <a:ln w="0">
          <a:noFill/>
        </a:ln>
      </c:spPr>
    </c:title>
    <c:autoTitleDeleted val="0"/>
    <c:plotArea>
      <c:barChart>
        <c:barDir val="col"/>
        <c:grouping val="stacked"/>
        <c:varyColors val="0"/>
        <c:ser>
          <c:idx val="0"/>
          <c:order val="0"/>
          <c:tx>
            <c:strRef>
              <c:f>'Revenue Model'!A57</c:f>
              <c:strCache>
                <c:ptCount val="1"/>
                <c:pt idx="0">
                  <c:v>Fee, Commission &amp; Brokerage Income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Model'!$B$57:$K$57</c:f>
              <c:numCache>
                <c:formatCode>#,##0;\(#,##0\);\-</c:formatCode>
                <c:ptCount val="10"/>
                <c:pt idx="0">
                  <c:v>24700</c:v>
                </c:pt>
                <c:pt idx="1">
                  <c:v>27900</c:v>
                </c:pt>
                <c:pt idx="2">
                  <c:v>31700</c:v>
                </c:pt>
                <c:pt idx="3">
                  <c:v>35800</c:v>
                </c:pt>
                <c:pt idx="4">
                  <c:v>40400</c:v>
                </c:pt>
                <c:pt idx="5">
                  <c:v>45248</c:v>
                </c:pt>
                <c:pt idx="6">
                  <c:v>50677.76</c:v>
                </c:pt>
                <c:pt idx="7">
                  <c:v>56759.0912</c:v>
                </c:pt>
                <c:pt idx="8">
                  <c:v>63570.182144</c:v>
                </c:pt>
                <c:pt idx="9">
                  <c:v>71198.6040012801</c:v>
                </c:pt>
              </c:numCache>
            </c:numRef>
          </c:val>
        </c:ser>
        <c:ser>
          <c:idx val="1"/>
          <c:order val="1"/>
          <c:tx>
            <c:strRef>
              <c:f>'Revenue Model'!A59</c:f>
              <c:strCache>
                <c:ptCount val="1"/>
                <c:pt idx="0">
                  <c:v>Treasury / Trading Gains</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Model'!$B$59:$K$59</c:f>
              <c:numCache>
                <c:formatCode>#,##0;\(#,##0\);\-</c:formatCode>
                <c:ptCount val="10"/>
                <c:pt idx="0">
                  <c:v>1900</c:v>
                </c:pt>
                <c:pt idx="1">
                  <c:v>6800</c:v>
                </c:pt>
                <c:pt idx="2">
                  <c:v>8200</c:v>
                </c:pt>
                <c:pt idx="3">
                  <c:v>9100</c:v>
                </c:pt>
                <c:pt idx="4">
                  <c:v>14800</c:v>
                </c:pt>
                <c:pt idx="5">
                  <c:v>10360</c:v>
                </c:pt>
                <c:pt idx="6">
                  <c:v>11188.8</c:v>
                </c:pt>
                <c:pt idx="7">
                  <c:v>12083.904</c:v>
                </c:pt>
                <c:pt idx="8">
                  <c:v>13050.61632</c:v>
                </c:pt>
                <c:pt idx="9">
                  <c:v>14094.6656256</c:v>
                </c:pt>
              </c:numCache>
            </c:numRef>
          </c:val>
        </c:ser>
        <c:ser>
          <c:idx val="2"/>
          <c:order val="2"/>
          <c:tx>
            <c:strRef>
              <c:f>'Revenue Model'!A60</c:f>
              <c:strCache>
                <c:ptCount val="1"/>
                <c:pt idx="0">
                  <c:v>Forex Income</c:v>
                </c:pt>
              </c:strCache>
            </c:strRef>
          </c:tx>
          <c:spPr>
            <a:solidFill>
              <a:srgbClr val="9bbb59"/>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Model'!$B$60:$K$60</c:f>
              <c:numCache>
                <c:formatCode>#,##0;\(#,##0\);\-</c:formatCode>
                <c:ptCount val="10"/>
                <c:pt idx="0">
                  <c:v>2400</c:v>
                </c:pt>
                <c:pt idx="1">
                  <c:v>2700</c:v>
                </c:pt>
                <c:pt idx="2">
                  <c:v>3100</c:v>
                </c:pt>
                <c:pt idx="3">
                  <c:v>3600</c:v>
                </c:pt>
                <c:pt idx="4">
                  <c:v>8300</c:v>
                </c:pt>
                <c:pt idx="5">
                  <c:v>5395</c:v>
                </c:pt>
                <c:pt idx="6">
                  <c:v>5826.6</c:v>
                </c:pt>
                <c:pt idx="7">
                  <c:v>6292.728</c:v>
                </c:pt>
                <c:pt idx="8">
                  <c:v>6796.14624</c:v>
                </c:pt>
                <c:pt idx="9">
                  <c:v>7339.8379392</c:v>
                </c:pt>
              </c:numCache>
            </c:numRef>
          </c:val>
        </c:ser>
        <c:ser>
          <c:idx val="3"/>
          <c:order val="3"/>
          <c:tx>
            <c:strRef>
              <c:f>'Revenue Model'!A61</c:f>
              <c:strCache>
                <c:ptCount val="1"/>
                <c:pt idx="0">
                  <c:v>Dividend Income from Subsidiaries</c:v>
                </c:pt>
              </c:strCache>
            </c:strRef>
          </c:tx>
          <c:spPr>
            <a:solidFill>
              <a:srgbClr val="8064a2"/>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Model'!$B$61:$K$61</c:f>
              <c:numCache>
                <c:formatCode>#,##0;\(#,##0\);\-</c:formatCode>
                <c:ptCount val="10"/>
                <c:pt idx="0">
                  <c:v>2100</c:v>
                </c:pt>
                <c:pt idx="1">
                  <c:v>2600</c:v>
                </c:pt>
                <c:pt idx="2">
                  <c:v>3200</c:v>
                </c:pt>
                <c:pt idx="3">
                  <c:v>3900</c:v>
                </c:pt>
                <c:pt idx="4">
                  <c:v>4600</c:v>
                </c:pt>
                <c:pt idx="5">
                  <c:v>5060</c:v>
                </c:pt>
                <c:pt idx="6">
                  <c:v>5566</c:v>
                </c:pt>
                <c:pt idx="7">
                  <c:v>6122.6</c:v>
                </c:pt>
                <c:pt idx="8">
                  <c:v>6734.86</c:v>
                </c:pt>
                <c:pt idx="9">
                  <c:v>7408.346</c:v>
                </c:pt>
              </c:numCache>
            </c:numRef>
          </c:val>
        </c:ser>
        <c:ser>
          <c:idx val="4"/>
          <c:order val="4"/>
          <c:tx>
            <c:strRef>
              <c:f>'Revenue Model'!A62</c:f>
              <c:strCache>
                <c:ptCount val="1"/>
                <c:pt idx="0">
                  <c:v>Recovery from Written-off Accounts</c:v>
                </c:pt>
              </c:strCache>
            </c:strRef>
          </c:tx>
          <c:spPr>
            <a:solidFill>
              <a:srgbClr val="4bacc6"/>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Model'!$B$62:$K$62</c:f>
              <c:numCache>
                <c:formatCode>#,##0;\(#,##0\);\-</c:formatCode>
                <c:ptCount val="10"/>
                <c:pt idx="0">
                  <c:v>7200</c:v>
                </c:pt>
                <c:pt idx="1">
                  <c:v>6500</c:v>
                </c:pt>
                <c:pt idx="2">
                  <c:v>6100</c:v>
                </c:pt>
                <c:pt idx="3">
                  <c:v>5700</c:v>
                </c:pt>
                <c:pt idx="4">
                  <c:v>5200</c:v>
                </c:pt>
                <c:pt idx="5">
                  <c:v>5044</c:v>
                </c:pt>
                <c:pt idx="6">
                  <c:v>4892.68</c:v>
                </c:pt>
                <c:pt idx="7">
                  <c:v>4745.8996</c:v>
                </c:pt>
                <c:pt idx="8">
                  <c:v>4603.522612</c:v>
                </c:pt>
                <c:pt idx="9">
                  <c:v>4465.41693364</c:v>
                </c:pt>
              </c:numCache>
            </c:numRef>
          </c:val>
        </c:ser>
        <c:ser>
          <c:idx val="5"/>
          <c:order val="5"/>
          <c:tx>
            <c:strRef>
              <c:f>'Revenue Model'!A63</c:f>
              <c:strCache>
                <c:ptCount val="1"/>
                <c:pt idx="0">
                  <c:v>Other Miscellaneous Income</c:v>
                </c:pt>
              </c:strCache>
            </c:strRef>
          </c:tx>
          <c:spPr>
            <a:solidFill>
              <a:srgbClr val="f79646"/>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'Revenue Model'!$B$63:$K$63</c:f>
              <c:numCache>
                <c:formatCode>#,##0;\(#,##0\);\-</c:formatCode>
                <c:ptCount val="10"/>
                <c:pt idx="0">
                  <c:v>3500</c:v>
                </c:pt>
                <c:pt idx="1">
                  <c:v>3700</c:v>
                </c:pt>
                <c:pt idx="2">
                  <c:v>4000</c:v>
                </c:pt>
                <c:pt idx="3">
                  <c:v>4300</c:v>
                </c:pt>
                <c:pt idx="4">
                  <c:v>4600</c:v>
                </c:pt>
                <c:pt idx="5">
                  <c:v>4968</c:v>
                </c:pt>
                <c:pt idx="6">
                  <c:v>5365.44</c:v>
                </c:pt>
                <c:pt idx="7">
                  <c:v>5794.6752</c:v>
                </c:pt>
                <c:pt idx="8">
                  <c:v>6258.249216</c:v>
                </c:pt>
                <c:pt idx="9">
                  <c:v>6758.90915328</c:v>
                </c:pt>
              </c:numCache>
            </c:numRef>
          </c:val>
        </c:ser>
        <c:gapWidth val="150"/>
        <c:overlap val="100"/>
        <c:axId val="7720097"/>
        <c:axId val="69667576"/>
      </c:barChart>
      <c:catAx>
        <c:axId val="772009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9667576"/>
        <c:crosses val="autoZero"/>
        <c:auto val="1"/>
        <c:lblAlgn val="ctr"/>
        <c:lblOffset val="100"/>
        <c:noMultiLvlLbl val="0"/>
      </c:catAx>
      <c:valAx>
        <c:axId val="6966757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7200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Operating Expense Composition</a:t>
            </a:r>
          </a:p>
        </c:rich>
      </c:tx>
      <c:overlay val="0"/>
      <c:spPr>
        <a:noFill/>
        <a:ln w="0">
          <a:noFill/>
        </a:ln>
      </c:spPr>
    </c:title>
    <c:autoTitleDeleted val="0"/>
    <c:plotArea>
      <c:barChart>
        <c:barDir val="col"/>
        <c:grouping val="stacked"/>
        <c:varyColors val="0"/>
        <c:ser>
          <c:idx val="0"/>
          <c:order val="0"/>
          <c:tx>
            <c:strRef>
              <c:f>'Income Statement'!A31</c:f>
              <c:strCache>
                <c:ptCount val="1"/>
                <c:pt idx="0">
                  <c:v>Employee Cost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Statement'!$B$31:$K$31</c:f>
              <c:numCache>
                <c:formatCode>#,##0;\(#,##0\);\-</c:formatCode>
                <c:ptCount val="10"/>
                <c:pt idx="0">
                  <c:v>58500</c:v>
                </c:pt>
                <c:pt idx="1">
                  <c:v>62700</c:v>
                </c:pt>
                <c:pt idx="2">
                  <c:v>78200</c:v>
                </c:pt>
                <c:pt idx="3">
                  <c:v>72300</c:v>
                </c:pt>
                <c:pt idx="4">
                  <c:v>79600</c:v>
                </c:pt>
                <c:pt idx="5">
                  <c:v>85968</c:v>
                </c:pt>
                <c:pt idx="6">
                  <c:v>92845.44</c:v>
                </c:pt>
                <c:pt idx="7">
                  <c:v>100273.0752</c:v>
                </c:pt>
                <c:pt idx="8">
                  <c:v>108294.921216</c:v>
                </c:pt>
                <c:pt idx="9">
                  <c:v>116958.51491328</c:v>
                </c:pt>
              </c:numCache>
            </c:numRef>
          </c:val>
        </c:ser>
        <c:ser>
          <c:idx val="1"/>
          <c:order val="1"/>
          <c:tx>
            <c:strRef>
              <c:f>'Income Statement'!A32</c:f>
              <c:strCache>
                <c:ptCount val="1"/>
                <c:pt idx="0">
                  <c:v>Rent, Taxes &amp; Lighting</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Statement'!$B$32:$K$32</c:f>
              <c:numCache>
                <c:formatCode>#,##0;\(#,##0\);\-</c:formatCode>
                <c:ptCount val="10"/>
                <c:pt idx="0">
                  <c:v>5200</c:v>
                </c:pt>
                <c:pt idx="1">
                  <c:v>5700</c:v>
                </c:pt>
                <c:pt idx="2">
                  <c:v>6300</c:v>
                </c:pt>
                <c:pt idx="3">
                  <c:v>7000</c:v>
                </c:pt>
                <c:pt idx="4">
                  <c:v>7700</c:v>
                </c:pt>
                <c:pt idx="5">
                  <c:v>8547</c:v>
                </c:pt>
                <c:pt idx="6">
                  <c:v>9487.17</c:v>
                </c:pt>
                <c:pt idx="7">
                  <c:v>10530.7587</c:v>
                </c:pt>
                <c:pt idx="8">
                  <c:v>11583.83457</c:v>
                </c:pt>
                <c:pt idx="9">
                  <c:v>12742.218027</c:v>
                </c:pt>
              </c:numCache>
            </c:numRef>
          </c:val>
        </c:ser>
        <c:ser>
          <c:idx val="2"/>
          <c:order val="2"/>
          <c:tx>
            <c:strRef>
              <c:f>'Income Statement'!A33</c:f>
              <c:strCache>
                <c:ptCount val="1"/>
                <c:pt idx="0">
                  <c:v>Depreciation</c:v>
                </c:pt>
              </c:strCache>
            </c:strRef>
          </c:tx>
          <c:spPr>
            <a:solidFill>
              <a:srgbClr val="9bbb59"/>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Statement'!$B$33:$K$33</c:f>
              <c:numCache>
                <c:formatCode>#,##0;\(#,##0\);\-</c:formatCode>
                <c:ptCount val="10"/>
                <c:pt idx="0">
                  <c:v>3600</c:v>
                </c:pt>
                <c:pt idx="1">
                  <c:v>3900</c:v>
                </c:pt>
                <c:pt idx="2">
                  <c:v>4300</c:v>
                </c:pt>
                <c:pt idx="3">
                  <c:v>4700</c:v>
                </c:pt>
                <c:pt idx="4">
                  <c:v>5100</c:v>
                </c:pt>
                <c:pt idx="5">
                  <c:v>5661</c:v>
                </c:pt>
                <c:pt idx="6">
                  <c:v>6283.71</c:v>
                </c:pt>
                <c:pt idx="7">
                  <c:v>6974.9181</c:v>
                </c:pt>
                <c:pt idx="8">
                  <c:v>7672.40991</c:v>
                </c:pt>
                <c:pt idx="9">
                  <c:v>8439.65090100001</c:v>
                </c:pt>
              </c:numCache>
            </c:numRef>
          </c:val>
        </c:ser>
        <c:ser>
          <c:idx val="3"/>
          <c:order val="3"/>
          <c:tx>
            <c:strRef>
              <c:f>'Income Statement'!A34</c:f>
              <c:strCache>
                <c:ptCount val="1"/>
                <c:pt idx="0">
                  <c:v>Printing, Stationery &amp; Admin Expenses</c:v>
                </c:pt>
              </c:strCache>
            </c:strRef>
          </c:tx>
          <c:spPr>
            <a:solidFill>
              <a:srgbClr val="8064a2"/>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Statement'!$B$34:$K$34</c:f>
              <c:numCache>
                <c:formatCode>#,##0;\(#,##0\);\-</c:formatCode>
                <c:ptCount val="10"/>
                <c:pt idx="0">
                  <c:v>7800</c:v>
                </c:pt>
                <c:pt idx="1">
                  <c:v>8300</c:v>
                </c:pt>
                <c:pt idx="2">
                  <c:v>9100</c:v>
                </c:pt>
                <c:pt idx="3">
                  <c:v>9900</c:v>
                </c:pt>
                <c:pt idx="4">
                  <c:v>10700</c:v>
                </c:pt>
                <c:pt idx="5">
                  <c:v>11877</c:v>
                </c:pt>
                <c:pt idx="6">
                  <c:v>13183.47</c:v>
                </c:pt>
                <c:pt idx="7">
                  <c:v>14633.6517</c:v>
                </c:pt>
                <c:pt idx="8">
                  <c:v>16097.01687</c:v>
                </c:pt>
                <c:pt idx="9">
                  <c:v>17706.718557</c:v>
                </c:pt>
              </c:numCache>
            </c:numRef>
          </c:val>
        </c:ser>
        <c:ser>
          <c:idx val="4"/>
          <c:order val="4"/>
          <c:tx>
            <c:strRef>
              <c:f>'Income Statement'!A35</c:f>
              <c:strCache>
                <c:ptCount val="1"/>
                <c:pt idx="0">
                  <c:v>Other Operating Expenses (incl. technology)</c:v>
                </c:pt>
              </c:strCache>
            </c:strRef>
          </c:tx>
          <c:spPr>
            <a:solidFill>
              <a:srgbClr val="4bacc6"/>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Statement'!$B$35:$K$35</c:f>
              <c:numCache>
                <c:formatCode>#,##0;\(#,##0\);\-</c:formatCode>
                <c:ptCount val="10"/>
                <c:pt idx="0">
                  <c:v>16018</c:v>
                </c:pt>
                <c:pt idx="1">
                  <c:v>30655</c:v>
                </c:pt>
                <c:pt idx="2">
                  <c:v>20946</c:v>
                </c:pt>
                <c:pt idx="3">
                  <c:v>26813</c:v>
                </c:pt>
                <c:pt idx="4">
                  <c:v>31223</c:v>
                </c:pt>
                <c:pt idx="5">
                  <c:v>34657.53</c:v>
                </c:pt>
                <c:pt idx="6">
                  <c:v>38469.8583</c:v>
                </c:pt>
                <c:pt idx="7">
                  <c:v>42701.542713</c:v>
                </c:pt>
                <c:pt idx="8">
                  <c:v>46971.6969843</c:v>
                </c:pt>
                <c:pt idx="9">
                  <c:v>51668.86668273</c:v>
                </c:pt>
              </c:numCache>
            </c:numRef>
          </c:val>
        </c:ser>
        <c:gapWidth val="150"/>
        <c:overlap val="100"/>
        <c:axId val="79379975"/>
        <c:axId val="15599595"/>
      </c:barChart>
      <c:catAx>
        <c:axId val="7937997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599595"/>
        <c:crosses val="autoZero"/>
        <c:auto val="1"/>
        <c:lblAlgn val="ctr"/>
        <c:lblOffset val="100"/>
        <c:noMultiLvlLbl val="0"/>
      </c:catAx>
      <c:valAx>
        <c:axId val="1559959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37997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Net Revenue &amp; PPOP</a:t>
            </a:r>
          </a:p>
        </c:rich>
      </c:tx>
      <c:overlay val="0"/>
      <c:spPr>
        <a:noFill/>
        <a:ln w="0">
          <a:noFill/>
        </a:ln>
      </c:spPr>
    </c:title>
    <c:autoTitleDeleted val="0"/>
    <c:plotArea>
      <c:barChart>
        <c:barDir val="col"/>
        <c:grouping val="clustered"/>
        <c:varyColors val="0"/>
        <c:ser>
          <c:idx val="0"/>
          <c:order val="0"/>
          <c:tx>
            <c:strRef>
              <c:f>'Income Statement'!A27</c:f>
              <c:strCache>
                <c:ptCount val="1"/>
                <c:pt idx="0">
                  <c:v>TOTAL NET REVENUE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Statement'!$B$27:$K$27</c:f>
              <c:numCache>
                <c:formatCode>#,##0;\(#,##0\);\-</c:formatCode>
                <c:ptCount val="10"/>
                <c:pt idx="0">
                  <c:v>161740.038</c:v>
                </c:pt>
                <c:pt idx="1">
                  <c:v>194155.47</c:v>
                </c:pt>
                <c:pt idx="2">
                  <c:v>216351.691</c:v>
                </c:pt>
                <c:pt idx="3">
                  <c:v>229344.845</c:v>
                </c:pt>
                <c:pt idx="4">
                  <c:v>256330.1785</c:v>
                </c:pt>
                <c:pt idx="5">
                  <c:v>285067.271275</c:v>
                </c:pt>
                <c:pt idx="6">
                  <c:v>333516.727909</c:v>
                </c:pt>
                <c:pt idx="7">
                  <c:v>389348.361440936</c:v>
                </c:pt>
                <c:pt idx="8">
                  <c:v>440949.914374825</c:v>
                </c:pt>
                <c:pt idx="9">
                  <c:v>494927.406586214</c:v>
                </c:pt>
              </c:numCache>
            </c:numRef>
          </c:val>
        </c:ser>
        <c:ser>
          <c:idx val="1"/>
          <c:order val="1"/>
          <c:tx>
            <c:strRef>
              <c:f>'Income Statement'!A38</c:f>
              <c:strCache>
                <c:ptCount val="1"/>
                <c:pt idx="0">
                  <c:v>OPERATING PROFIT (Pre-Provision Operating Profit)</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'Income Statement'!$B$38:$K$38</c:f>
              <c:numCache>
                <c:formatCode>#,##0;\(#,##0\);\-</c:formatCode>
                <c:ptCount val="10"/>
                <c:pt idx="0">
                  <c:v>70622.038</c:v>
                </c:pt>
                <c:pt idx="1">
                  <c:v>82900.47</c:v>
                </c:pt>
                <c:pt idx="2">
                  <c:v>97505.691</c:v>
                </c:pt>
                <c:pt idx="3">
                  <c:v>108631.845</c:v>
                </c:pt>
                <c:pt idx="4">
                  <c:v>122007.1785</c:v>
                </c:pt>
                <c:pt idx="5">
                  <c:v>138356.741275</c:v>
                </c:pt>
                <c:pt idx="6">
                  <c:v>173247.079609</c:v>
                </c:pt>
                <c:pt idx="7">
                  <c:v>214234.415027936</c:v>
                </c:pt>
                <c:pt idx="8">
                  <c:v>250330.034824525</c:v>
                </c:pt>
                <c:pt idx="9">
                  <c:v>287411.437505204</c:v>
                </c:pt>
              </c:numCache>
            </c:numRef>
          </c:val>
        </c:ser>
        <c:gapWidth val="150"/>
        <c:overlap val="0"/>
        <c:axId val="35660763"/>
        <c:axId val="94143705"/>
      </c:barChart>
      <c:catAx>
        <c:axId val="356607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4143705"/>
        <c:crosses val="autoZero"/>
        <c:auto val="1"/>
        <c:lblAlgn val="ctr"/>
        <c:lblOffset val="100"/>
        <c:noMultiLvlLbl val="0"/>
      </c:catAx>
      <c:valAx>
        <c:axId val="9414370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56607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FCFE Proxy Trend</a:t>
            </a:r>
          </a:p>
        </c:rich>
      </c:tx>
      <c:overlay val="0"/>
      <c:spPr>
        <a:noFill/>
        <a:ln w="0">
          <a:noFill/>
        </a:ln>
      </c:spPr>
    </c:title>
    <c:autoTitleDeleted val="0"/>
    <c:plotArea>
      <c:barChart>
        <c:barDir val="col"/>
        <c:grouping val="clustered"/>
        <c:varyColors val="0"/>
        <c:ser>
          <c:idx val="0"/>
          <c:order val="0"/>
          <c:tx>
            <c:strRef>
              <c:f>'DCF Inputs'!A10</c:f>
              <c:strCache>
                <c:ptCount val="1"/>
                <c:pt idx="0">
                  <c:v>DISTRIBUTABLE CASH FLOW TO EQUITY (FCFE proxy)</c:v>
                </c:pt>
              </c:strCache>
            </c:strRef>
          </c:tx>
          <c:spPr>
            <a:solidFill>
              <a:srgbClr val="2e7d3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Model'!$B$3:$K$3</c:f>
              <c:strCache>
                <c:ptCount val="10"/>
                <c:pt idx="0">
                  <c:v>FY22A</c:v>
                </c:pt>
                <c:pt idx="1">
                  <c:v>FY23A</c:v>
                </c:pt>
                <c:pt idx="2">
                  <c:v>FY24A</c:v>
                </c:pt>
                <c:pt idx="3">
                  <c:v>FY25A</c:v>
                </c:pt>
                <c:pt idx="4">
                  <c:v>FY26A</c:v>
                </c:pt>
                <c:pt idx="5">
                  <c:v>FY27E</c:v>
                </c:pt>
                <c:pt idx="6">
                  <c:v>FY28E</c:v>
                </c:pt>
                <c:pt idx="7">
                  <c:v>FY29E</c:v>
                </c:pt>
                <c:pt idx="8">
                  <c:v>FY30E</c:v>
                </c:pt>
                <c:pt idx="9">
                  <c:v>FY31E</c:v>
                </c:pt>
              </c:strCache>
            </c:strRef>
          </c:cat>
          <c:val>
            <c:numRef>
              <c:f>'DCF Inputs'!$B$10:$K$10</c:f>
              <c:numCache>
                <c:formatCode>#,##0;\(#,##0\);\-</c:formatCode>
                <c:ptCount val="10"/>
                <c:pt idx="0">
                  <c:v>31634.98584</c:v>
                </c:pt>
                <c:pt idx="1">
                  <c:v>16302.55749</c:v>
                </c:pt>
                <c:pt idx="2">
                  <c:v>22697.928868</c:v>
                </c:pt>
                <c:pt idx="3">
                  <c:v>38366.70806</c:v>
                </c:pt>
                <c:pt idx="4">
                  <c:v>27142.969518</c:v>
                </c:pt>
                <c:pt idx="5">
                  <c:v>29844.83032318</c:v>
                </c:pt>
                <c:pt idx="6">
                  <c:v>48450.4069244239</c:v>
                </c:pt>
                <c:pt idx="7">
                  <c:v>69200.4105775531</c:v>
                </c:pt>
                <c:pt idx="8">
                  <c:v>86510.2183341789</c:v>
                </c:pt>
                <c:pt idx="9">
                  <c:v>104393.334930687</c:v>
                </c:pt>
              </c:numCache>
            </c:numRef>
          </c:val>
        </c:ser>
        <c:gapWidth val="150"/>
        <c:overlap val="0"/>
        <c:axId val="39797888"/>
        <c:axId val="26911691"/>
      </c:barChart>
      <c:catAx>
        <c:axId val="3979788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911691"/>
        <c:crosses val="autoZero"/>
        <c:auto val="1"/>
        <c:lblAlgn val="ctr"/>
        <c:lblOffset val="100"/>
        <c:noMultiLvlLbl val="0"/>
      </c:catAx>
      <c:valAx>
        <c:axId val="2691169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79788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FY31E Net Profit — Bull/Base/Bear</a:t>
            </a:r>
          </a:p>
        </c:rich>
      </c:tx>
      <c:overlay val="0"/>
      <c:spPr>
        <a:noFill/>
        <a:ln w="0">
          <a:noFill/>
        </a:ln>
      </c:spPr>
    </c:title>
    <c:autoTitleDeleted val="0"/>
    <c:plotArea>
      <c:barChart>
        <c:barDir val="col"/>
        <c:grouping val="clustered"/>
        <c:varyColors val="0"/>
        <c:ser>
          <c:idx val="0"/>
          <c:order val="0"/>
          <c:tx>
            <c:strRef>
              <c:f>Scenarios!A22</c:f>
              <c:strCache>
                <c:ptCount val="1"/>
                <c:pt idx="0">
                  <c:v>FY31E NET PROFIT (₹ cr)</c:v>
                </c:pt>
              </c:strCache>
            </c:strRef>
          </c:tx>
          <c:spPr>
            <a:solidFill>
              <a:srgbClr val="1f4e78"/>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Scenarios!$B$3:$D$3</c:f>
              <c:strCache>
                <c:ptCount val="3"/>
                <c:pt idx="0">
                  <c:v>Bull</c:v>
                </c:pt>
                <c:pt idx="1">
                  <c:v>Base</c:v>
                </c:pt>
                <c:pt idx="2">
                  <c:v>Bear</c:v>
                </c:pt>
              </c:strCache>
            </c:strRef>
          </c:cat>
          <c:val>
            <c:numRef>
              <c:f>Scenarios!$B$22:$D$22</c:f>
              <c:numCache>
                <c:formatCode>#,##0;\(#,##0\);\-</c:formatCode>
                <c:ptCount val="3"/>
                <c:pt idx="0">
                  <c:v>174809.681165428</c:v>
                </c:pt>
                <c:pt idx="1">
                  <c:v>135491.171961545</c:v>
                </c:pt>
                <c:pt idx="2">
                  <c:v>80816.8377648258</c:v>
                </c:pt>
              </c:numCache>
            </c:numRef>
          </c:val>
        </c:ser>
        <c:gapWidth val="150"/>
        <c:overlap val="0"/>
        <c:axId val="50181467"/>
        <c:axId val="43308356"/>
      </c:barChart>
      <c:catAx>
        <c:axId val="5018146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308356"/>
        <c:crosses val="autoZero"/>
        <c:auto val="1"/>
        <c:lblAlgn val="ctr"/>
        <c:lblOffset val="100"/>
        <c:noMultiLvlLbl val="0"/>
      </c:catAx>
      <c:valAx>
        <c:axId val="4330835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01814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FY31E EPS — Bull/Base/Bear</a:t>
            </a:r>
          </a:p>
        </c:rich>
      </c:tx>
      <c:overlay val="0"/>
      <c:spPr>
        <a:noFill/>
        <a:ln w="0">
          <a:noFill/>
        </a:ln>
      </c:spPr>
    </c:title>
    <c:autoTitleDeleted val="0"/>
    <c:plotArea>
      <c:barChart>
        <c:barDir val="col"/>
        <c:grouping val="clustered"/>
        <c:varyColors val="0"/>
        <c:ser>
          <c:idx val="0"/>
          <c:order val="0"/>
          <c:tx>
            <c:strRef>
              <c:f>Scenarios!A23</c:f>
              <c:strCache>
                <c:ptCount val="1"/>
                <c:pt idx="0">
                  <c:v>FY31E EPS (₹) (shares per Income Statement, Base case)</c:v>
                </c:pt>
              </c:strCache>
            </c:strRef>
          </c:tx>
          <c:spPr>
            <a:solidFill>
              <a:srgbClr val="bf8f0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Scenarios!$B$3:$D$3</c:f>
              <c:strCache>
                <c:ptCount val="3"/>
                <c:pt idx="0">
                  <c:v>Bull</c:v>
                </c:pt>
                <c:pt idx="1">
                  <c:v>Base</c:v>
                </c:pt>
                <c:pt idx="2">
                  <c:v>Bear</c:v>
                </c:pt>
              </c:strCache>
            </c:strRef>
          </c:cat>
          <c:val>
            <c:numRef>
              <c:f>Scenarios!$B$23:$D$23</c:f>
              <c:numCache>
                <c:formatCode>\₹#,##0.00</c:formatCode>
                <c:ptCount val="3"/>
                <c:pt idx="0">
                  <c:v>192.26757717271</c:v>
                </c:pt>
                <c:pt idx="1">
                  <c:v>149.022406468924</c:v>
                </c:pt>
                <c:pt idx="2">
                  <c:v>88.8878549987085</c:v>
                </c:pt>
              </c:numCache>
            </c:numRef>
          </c:val>
        </c:ser>
        <c:gapWidth val="150"/>
        <c:overlap val="0"/>
        <c:axId val="36888563"/>
        <c:axId val="96083227"/>
      </c:barChart>
      <c:catAx>
        <c:axId val="368885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083227"/>
        <c:crosses val="autoZero"/>
        <c:auto val="1"/>
        <c:lblAlgn val="ctr"/>
        <c:lblOffset val="100"/>
        <c:noMultiLvlLbl val="0"/>
      </c:catAx>
      <c:valAx>
        <c:axId val="96083227"/>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share</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68885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FY31E Gross Advances — Bull/Base/Bear</a:t>
            </a:r>
          </a:p>
        </c:rich>
      </c:tx>
      <c:overlay val="0"/>
      <c:spPr>
        <a:noFill/>
        <a:ln w="0">
          <a:noFill/>
        </a:ln>
      </c:spPr>
    </c:title>
    <c:autoTitleDeleted val="0"/>
    <c:plotArea>
      <c:barChart>
        <c:barDir val="col"/>
        <c:grouping val="clustered"/>
        <c:varyColors val="0"/>
        <c:ser>
          <c:idx val="0"/>
          <c:order val="0"/>
          <c:tx>
            <c:strRef>
              <c:f>Scenarios!A13</c:f>
              <c:strCache>
                <c:ptCount val="1"/>
                <c:pt idx="0">
                  <c:v>FY31E Gross Advances (₹ cr)</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Scenarios!$B$3:$D$3</c:f>
              <c:strCache>
                <c:ptCount val="3"/>
                <c:pt idx="0">
                  <c:v>Bull</c:v>
                </c:pt>
                <c:pt idx="1">
                  <c:v>Base</c:v>
                </c:pt>
                <c:pt idx="2">
                  <c:v>Bear</c:v>
                </c:pt>
              </c:strCache>
            </c:strRef>
          </c:cat>
          <c:val>
            <c:numRef>
              <c:f>Scenarios!$B$13:$D$13</c:f>
              <c:numCache>
                <c:formatCode>#,##0;\(#,##0\);\-</c:formatCode>
                <c:ptCount val="3"/>
                <c:pt idx="0">
                  <c:v>10137549.5292023</c:v>
                </c:pt>
                <c:pt idx="1">
                  <c:v>9006759.4972146</c:v>
                </c:pt>
                <c:pt idx="2">
                  <c:v>7764145.47028834</c:v>
                </c:pt>
              </c:numCache>
            </c:numRef>
          </c:val>
        </c:ser>
        <c:gapWidth val="150"/>
        <c:overlap val="0"/>
        <c:axId val="24519763"/>
        <c:axId val="37072644"/>
      </c:barChart>
      <c:catAx>
        <c:axId val="2451976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7072644"/>
        <c:crosses val="autoZero"/>
        <c:auto val="1"/>
        <c:lblAlgn val="ctr"/>
        <c:lblOffset val="100"/>
        <c:noMultiLvlLbl val="0"/>
      </c:catAx>
      <c:valAx>
        <c:axId val="37072644"/>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5197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FY31E ROE — Bull/Base/Bear</a:t>
            </a:r>
          </a:p>
        </c:rich>
      </c:tx>
      <c:overlay val="0"/>
      <c:spPr>
        <a:noFill/>
        <a:ln w="0">
          <a:noFill/>
        </a:ln>
      </c:spPr>
    </c:title>
    <c:autoTitleDeleted val="0"/>
    <c:plotArea>
      <c:barChart>
        <c:barDir val="col"/>
        <c:grouping val="clustered"/>
        <c:varyColors val="0"/>
        <c:ser>
          <c:idx val="0"/>
          <c:order val="0"/>
          <c:tx>
            <c:strRef>
              <c:f>Scenarios!A25</c:f>
              <c:strCache>
                <c:ptCount val="1"/>
                <c:pt idx="0">
                  <c:v>FY31E Return on Equity (approx., vs. Base-case FY31E book equity)</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Scenarios!$B$3:$D$3</c:f>
              <c:strCache>
                <c:ptCount val="3"/>
                <c:pt idx="0">
                  <c:v>Bull</c:v>
                </c:pt>
                <c:pt idx="1">
                  <c:v>Base</c:v>
                </c:pt>
                <c:pt idx="2">
                  <c:v>Bear</c:v>
                </c:pt>
              </c:strCache>
            </c:strRef>
          </c:cat>
          <c:val>
            <c:numRef>
              <c:f>Scenarios!$B$25:$D$25</c:f>
              <c:numCache>
                <c:formatCode>0.0%</c:formatCode>
                <c:ptCount val="3"/>
                <c:pt idx="0">
                  <c:v>0.178797836531442</c:v>
                </c:pt>
                <c:pt idx="1">
                  <c:v>0.138582304219801</c:v>
                </c:pt>
                <c:pt idx="2">
                  <c:v>0.082660614968967</c:v>
                </c:pt>
              </c:numCache>
            </c:numRef>
          </c:val>
        </c:ser>
        <c:gapWidth val="150"/>
        <c:overlap val="0"/>
        <c:axId val="24350867"/>
        <c:axId val="24637952"/>
      </c:barChart>
      <c:catAx>
        <c:axId val="2435086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637952"/>
        <c:crosses val="autoZero"/>
        <c:auto val="1"/>
        <c:lblAlgn val="ctr"/>
        <c:lblOffset val="100"/>
        <c:noMultiLvlLbl val="0"/>
      </c:catAx>
      <c:valAx>
        <c:axId val="2463795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ROE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3508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Fair Value Sensitivity to Ke &amp; Terminal Growth</a:t>
            </a:r>
          </a:p>
        </c:rich>
      </c:tx>
      <c:overlay val="0"/>
      <c:spPr>
        <a:noFill/>
        <a:ln w="0">
          <a:noFill/>
        </a:ln>
      </c:spPr>
    </c:title>
    <c:autoTitleDeleted val="0"/>
    <c:plotArea>
      <c:lineChart>
        <c:grouping val="standard"/>
        <c:varyColors val="0"/>
        <c:ser>
          <c:idx val="0"/>
          <c:order val="0"/>
          <c:tx>
            <c:strRef>
              <c:f>Valuation!B14</c:f>
              <c:strCache>
                <c:ptCount val="1"/>
                <c:pt idx="0">
                  <c:v>5.5%</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Valuation!$A$15:$A$19</c:f>
              <c:strCache>
                <c:ptCount val="5"/>
                <c:pt idx="0">
                  <c:v>11.20%</c:v>
                </c:pt>
                <c:pt idx="1">
                  <c:v>12.20%</c:v>
                </c:pt>
                <c:pt idx="2">
                  <c:v>13.21%</c:v>
                </c:pt>
                <c:pt idx="3">
                  <c:v>14.20%</c:v>
                </c:pt>
                <c:pt idx="4">
                  <c:v>15.20%</c:v>
                </c:pt>
              </c:strCache>
            </c:strRef>
          </c:cat>
          <c:val>
            <c:numRef>
              <c:f>Valuation!$B$15:$B$19</c:f>
              <c:numCache>
                <c:formatCode>\₹#,##0.00</c:formatCode>
                <c:ptCount val="5"/>
                <c:pt idx="0">
                  <c:v>1069.14266659946</c:v>
                </c:pt>
                <c:pt idx="1">
                  <c:v>909.569134271183</c:v>
                </c:pt>
                <c:pt idx="2">
                  <c:v>790.160544520833</c:v>
                </c:pt>
                <c:pt idx="3">
                  <c:v>700.472781565164</c:v>
                </c:pt>
                <c:pt idx="4">
                  <c:v>628.259092744013</c:v>
                </c:pt>
              </c:numCache>
            </c:numRef>
          </c:val>
          <c:smooth val="0"/>
        </c:ser>
        <c:ser>
          <c:idx val="1"/>
          <c:order val="1"/>
          <c:tx>
            <c:strRef>
              <c:f>Valuation!C14</c:f>
              <c:strCache>
                <c:ptCount val="1"/>
                <c:pt idx="0">
                  <c:v>6.0%</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Valuation!$A$15:$A$19</c:f>
              <c:strCache>
                <c:ptCount val="5"/>
                <c:pt idx="0">
                  <c:v>11.20%</c:v>
                </c:pt>
                <c:pt idx="1">
                  <c:v>12.20%</c:v>
                </c:pt>
                <c:pt idx="2">
                  <c:v>13.21%</c:v>
                </c:pt>
                <c:pt idx="3">
                  <c:v>14.20%</c:v>
                </c:pt>
                <c:pt idx="4">
                  <c:v>15.20%</c:v>
                </c:pt>
              </c:strCache>
            </c:strRef>
          </c:cat>
          <c:val>
            <c:numRef>
              <c:f>Valuation!$C$15:$C$19</c:f>
              <c:numCache>
                <c:formatCode>\₹#,##0.00</c:formatCode>
                <c:ptCount val="5"/>
                <c:pt idx="0">
                  <c:v>1116.13794864779</c:v>
                </c:pt>
                <c:pt idx="1">
                  <c:v>936.115698865887</c:v>
                </c:pt>
                <c:pt idx="2">
                  <c:v>804.702576494766</c:v>
                </c:pt>
                <c:pt idx="3">
                  <c:v>707.794796703476</c:v>
                </c:pt>
                <c:pt idx="4">
                  <c:v>630.860579670489</c:v>
                </c:pt>
              </c:numCache>
            </c:numRef>
          </c:val>
          <c:smooth val="0"/>
        </c:ser>
        <c:ser>
          <c:idx val="2"/>
          <c:order val="2"/>
          <c:tx>
            <c:strRef>
              <c:f>Valuation!D14</c:f>
              <c:strCache>
                <c:ptCount val="1"/>
                <c:pt idx="0">
                  <c:v>6.5%</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Valuation!$A$15:$A$19</c:f>
              <c:strCache>
                <c:ptCount val="5"/>
                <c:pt idx="0">
                  <c:v>11.20%</c:v>
                </c:pt>
                <c:pt idx="1">
                  <c:v>12.20%</c:v>
                </c:pt>
                <c:pt idx="2">
                  <c:v>13.21%</c:v>
                </c:pt>
                <c:pt idx="3">
                  <c:v>14.20%</c:v>
                </c:pt>
                <c:pt idx="4">
                  <c:v>15.20%</c:v>
                </c:pt>
              </c:strCache>
            </c:strRef>
          </c:cat>
          <c:val>
            <c:numRef>
              <c:f>Valuation!$D$15:$D$19</c:f>
              <c:numCache>
                <c:formatCode>\₹#,##0.00</c:formatCode>
                <c:ptCount val="5"/>
                <c:pt idx="0">
                  <c:v>1173.13222687661</c:v>
                </c:pt>
                <c:pt idx="1">
                  <c:v>967.31955549475</c:v>
                </c:pt>
                <c:pt idx="2">
                  <c:v>821.411019191073</c:v>
                </c:pt>
                <c:pt idx="3">
                  <c:v>716.067722898711</c:v>
                </c:pt>
                <c:pt idx="4">
                  <c:v>633.761088082767</c:v>
                </c:pt>
              </c:numCache>
            </c:numRef>
          </c:val>
          <c:smooth val="0"/>
        </c:ser>
        <c:ser>
          <c:idx val="3"/>
          <c:order val="3"/>
          <c:tx>
            <c:strRef>
              <c:f>Valuation!E14</c:f>
              <c:strCache>
                <c:ptCount val="1"/>
                <c:pt idx="0">
                  <c:v>7.0%</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Valuation!$A$15:$A$19</c:f>
              <c:strCache>
                <c:ptCount val="5"/>
                <c:pt idx="0">
                  <c:v>11.20%</c:v>
                </c:pt>
                <c:pt idx="1">
                  <c:v>12.20%</c:v>
                </c:pt>
                <c:pt idx="2">
                  <c:v>13.21%</c:v>
                </c:pt>
                <c:pt idx="3">
                  <c:v>14.20%</c:v>
                </c:pt>
                <c:pt idx="4">
                  <c:v>15.20%</c:v>
                </c:pt>
              </c:strCache>
            </c:strRef>
          </c:cat>
          <c:val>
            <c:numRef>
              <c:f>Valuation!$E$15:$E$19</c:f>
              <c:numCache>
                <c:formatCode>\₹#,##0.00</c:formatCode>
                <c:ptCount val="5"/>
                <c:pt idx="0">
                  <c:v>1243.69657135039</c:v>
                </c:pt>
                <c:pt idx="1">
                  <c:v>1004.52415378301</c:v>
                </c:pt>
                <c:pt idx="2">
                  <c:v>840.808949645336</c:v>
                </c:pt>
                <c:pt idx="3">
                  <c:v>725.489666621063</c:v>
                </c:pt>
                <c:pt idx="4">
                  <c:v>637.015317033128</c:v>
                </c:pt>
              </c:numCache>
            </c:numRef>
          </c:val>
          <c:smooth val="0"/>
        </c:ser>
        <c:ser>
          <c:idx val="4"/>
          <c:order val="4"/>
          <c:tx>
            <c:strRef>
              <c:f>Valuation!F14</c:f>
              <c:strCache>
                <c:ptCount val="1"/>
                <c:pt idx="0">
                  <c:v>7.5%</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Valuation!$A$15:$A$19</c:f>
              <c:strCache>
                <c:ptCount val="5"/>
                <c:pt idx="0">
                  <c:v>11.20%</c:v>
                </c:pt>
                <c:pt idx="1">
                  <c:v>12.20%</c:v>
                </c:pt>
                <c:pt idx="2">
                  <c:v>13.21%</c:v>
                </c:pt>
                <c:pt idx="3">
                  <c:v>14.20%</c:v>
                </c:pt>
                <c:pt idx="4">
                  <c:v>15.20%</c:v>
                </c:pt>
              </c:strCache>
            </c:strRef>
          </c:cat>
          <c:val>
            <c:numRef>
              <c:f>Valuation!$F$15:$F$19</c:f>
              <c:numCache>
                <c:formatCode>\₹#,##0.00</c:formatCode>
                <c:ptCount val="5"/>
                <c:pt idx="0">
                  <c:v>1333.33236027655</c:v>
                </c:pt>
                <c:pt idx="1">
                  <c:v>1049.6446240475</c:v>
                </c:pt>
                <c:pt idx="2">
                  <c:v>863.602579085029</c:v>
                </c:pt>
                <c:pt idx="3">
                  <c:v>736.317870600482</c:v>
                </c:pt>
                <c:pt idx="4">
                  <c:v>640.6921731199</c:v>
                </c:pt>
              </c:numCache>
            </c:numRef>
          </c:val>
          <c:smooth val="0"/>
        </c:ser>
        <c:ser>
          <c:idx val="5"/>
          <c:order val="5"/>
          <c:tx>
            <c:strRef>
              <c:f>Valuation!G14</c:f>
              <c:strCache>
                <c:ptCount val="1"/>
                <c:pt idx="0">
                  <c:v>8.0%</c:v>
                </c:pt>
              </c:strCache>
            </c:strRef>
          </c:tx>
          <c:spPr>
            <a:solidFill>
              <a:srgbClr val="ffffff"/>
            </a:solidFill>
            <a:ln w="0">
              <a:solidFill>
                <a:srgbClr val="ffffff"/>
              </a:solidFill>
            </a:ln>
          </c:spPr>
          <c:marker>
            <c:symbol val="circle"/>
            <c:size val="5"/>
            <c:spPr>
              <a:solidFill>
                <a:srgbClr val="ffffff"/>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Valuation!$A$15:$A$19</c:f>
              <c:strCache>
                <c:ptCount val="5"/>
                <c:pt idx="0">
                  <c:v>11.20%</c:v>
                </c:pt>
                <c:pt idx="1">
                  <c:v>12.20%</c:v>
                </c:pt>
                <c:pt idx="2">
                  <c:v>13.21%</c:v>
                </c:pt>
                <c:pt idx="3">
                  <c:v>14.20%</c:v>
                </c:pt>
                <c:pt idx="4">
                  <c:v>15.20%</c:v>
                </c:pt>
              </c:strCache>
            </c:strRef>
          </c:cat>
          <c:val>
            <c:numRef>
              <c:f>Valuation!$G$15:$G$19</c:f>
              <c:numCache>
                <c:formatCode>\₹#,##0.00</c:formatCode>
                <c:ptCount val="5"/>
                <c:pt idx="0">
                  <c:v>1450.97933324213</c:v>
                </c:pt>
                <c:pt idx="1">
                  <c:v>1105.50806342257</c:v>
                </c:pt>
                <c:pt idx="2">
                  <c:v>890.769087074303</c:v>
                </c:pt>
                <c:pt idx="3">
                  <c:v>748.89255909271</c:v>
                </c:pt>
                <c:pt idx="4">
                  <c:v>644.879703663167</c:v>
                </c:pt>
              </c:numCache>
            </c:numRef>
          </c:val>
          <c:smooth val="0"/>
        </c:ser>
        <c:hiLowLines>
          <c:spPr>
            <a:ln w="0">
              <a:noFill/>
            </a:ln>
          </c:spPr>
        </c:hiLowLines>
        <c:marker val="1"/>
        <c:axId val="17958152"/>
        <c:axId val="79919640"/>
      </c:lineChart>
      <c:catAx>
        <c:axId val="1795815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Cost of Equity (Ke)</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9919640"/>
        <c:crosses val="autoZero"/>
        <c:auto val="1"/>
        <c:lblAlgn val="ctr"/>
        <c:lblOffset val="100"/>
        <c:noMultiLvlLbl val="0"/>
      </c:catAx>
      <c:valAx>
        <c:axId val="79919640"/>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Implied Fair Value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9581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Valuation Football Field</a:t>
            </a:r>
          </a:p>
        </c:rich>
      </c:tx>
      <c:overlay val="0"/>
      <c:spPr>
        <a:noFill/>
        <a:ln w="0">
          <a:noFill/>
        </a:ln>
      </c:spPr>
    </c:title>
    <c:autoTitleDeleted val="0"/>
    <c:plotArea>
      <c:barChart>
        <c:barDir val="bar"/>
        <c:grouping val="clustered"/>
        <c:varyColors val="0"/>
        <c:ser>
          <c:idx val="0"/>
          <c:order val="0"/>
          <c:tx>
            <c:strRef>
              <c:f>Valuation!B41</c:f>
              <c:strCache>
                <c:ptCount val="1"/>
                <c:pt idx="0">
                  <c:v>Low</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Valuation!$A$42:$A$44</c:f>
              <c:strCache>
                <c:ptCount val="3"/>
                <c:pt idx="0">
                  <c:v>Excess Return / Warranted P/B</c:v>
                </c:pt>
                <c:pt idx="1">
                  <c:v>Trading Comparables</c:v>
                </c:pt>
                <c:pt idx="2">
                  <c:v>Current Price (memo)</c:v>
                </c:pt>
              </c:strCache>
            </c:strRef>
          </c:cat>
          <c:val>
            <c:numRef>
              <c:f>Valuation!$B$42:$B$44</c:f>
              <c:numCache>
                <c:formatCode>\₹#,##0.00</c:formatCode>
                <c:ptCount val="3"/>
                <c:pt idx="0">
                  <c:v>756.728054680803</c:v>
                </c:pt>
                <c:pt idx="1">
                  <c:v>969.25419460574</c:v>
                </c:pt>
                <c:pt idx="2">
                  <c:v>983</c:v>
                </c:pt>
              </c:numCache>
            </c:numRef>
          </c:val>
        </c:ser>
        <c:ser>
          <c:idx val="1"/>
          <c:order val="1"/>
          <c:tx>
            <c:strRef>
              <c:f>Valuation!C41</c:f>
              <c:strCache>
                <c:ptCount val="1"/>
                <c:pt idx="0">
                  <c:v>Base</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Valuation!$A$42:$A$44</c:f>
              <c:strCache>
                <c:ptCount val="3"/>
                <c:pt idx="0">
                  <c:v>Excess Return / Warranted P/B</c:v>
                </c:pt>
                <c:pt idx="1">
                  <c:v>Trading Comparables</c:v>
                </c:pt>
                <c:pt idx="2">
                  <c:v>Current Price (memo)</c:v>
                </c:pt>
              </c:strCache>
            </c:strRef>
          </c:cat>
          <c:val>
            <c:numRef>
              <c:f>Valuation!$C$42:$C$44</c:f>
              <c:numCache>
                <c:formatCode>\₹#,##0.00</c:formatCode>
                <c:ptCount val="3"/>
                <c:pt idx="0">
                  <c:v>840.808949645336</c:v>
                </c:pt>
                <c:pt idx="1">
                  <c:v>1089.15375125266</c:v>
                </c:pt>
                <c:pt idx="2">
                  <c:v>983</c:v>
                </c:pt>
              </c:numCache>
            </c:numRef>
          </c:val>
        </c:ser>
        <c:ser>
          <c:idx val="2"/>
          <c:order val="2"/>
          <c:tx>
            <c:strRef>
              <c:f>Valuation!D41</c:f>
              <c:strCache>
                <c:ptCount val="1"/>
                <c:pt idx="0">
                  <c:v>High</c:v>
                </c:pt>
              </c:strCache>
            </c:strRef>
          </c:tx>
          <c:spPr>
            <a:solidFill>
              <a:srgbClr val="9bbb59"/>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Valuation!$A$42:$A$44</c:f>
              <c:strCache>
                <c:ptCount val="3"/>
                <c:pt idx="0">
                  <c:v>Excess Return / Warranted P/B</c:v>
                </c:pt>
                <c:pt idx="1">
                  <c:v>Trading Comparables</c:v>
                </c:pt>
                <c:pt idx="2">
                  <c:v>Current Price (memo)</c:v>
                </c:pt>
              </c:strCache>
            </c:strRef>
          </c:cat>
          <c:val>
            <c:numRef>
              <c:f>Valuation!$D$42:$D$44</c:f>
              <c:numCache>
                <c:formatCode>\₹#,##0.00</c:formatCode>
                <c:ptCount val="3"/>
                <c:pt idx="0">
                  <c:v>924.88984460987</c:v>
                </c:pt>
                <c:pt idx="1">
                  <c:v>1209.05330789958</c:v>
                </c:pt>
                <c:pt idx="2">
                  <c:v>983</c:v>
                </c:pt>
              </c:numCache>
            </c:numRef>
          </c:val>
        </c:ser>
        <c:gapWidth val="150"/>
        <c:overlap val="0"/>
        <c:axId val="6450897"/>
        <c:axId val="43793812"/>
      </c:barChart>
      <c:catAx>
        <c:axId val="6450897"/>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Method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3793812"/>
        <c:crosses val="autoZero"/>
        <c:auto val="1"/>
        <c:lblAlgn val="ctr"/>
        <c:lblOffset val="100"/>
        <c:noMultiLvlLbl val="0"/>
      </c:catAx>
      <c:valAx>
        <c:axId val="43793812"/>
        <c:scaling>
          <c:orientation val="minMax"/>
        </c:scaling>
        <c:delete val="0"/>
        <c:axPos val="l"/>
        <c:majorGridlines>
          <c:spPr>
            <a:ln w="0">
              <a:solidFill>
                <a:srgbClr val="b3b3b3"/>
              </a:solidFill>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 per share</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4508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Peer P/E Comparison</a:t>
            </a:r>
          </a:p>
        </c:rich>
      </c:tx>
      <c:overlay val="0"/>
      <c:spPr>
        <a:noFill/>
        <a:ln w="0">
          <a:noFill/>
        </a:ln>
      </c:spPr>
    </c:title>
    <c:autoTitleDeleted val="0"/>
    <c:plotArea>
      <c:barChart>
        <c:barDir val="col"/>
        <c:grouping val="clustered"/>
        <c:varyColors val="0"/>
        <c:ser>
          <c:idx val="0"/>
          <c:order val="0"/>
          <c:tx>
            <c:strRef>
              <c:f>'Comparable Companies'!D3</c:f>
              <c:strCache>
                <c:ptCount val="1"/>
                <c:pt idx="0">
                  <c:v>P/E (x)</c:v>
                </c:pt>
              </c:strCache>
            </c:strRef>
          </c:tx>
          <c:spPr>
            <a:solidFill>
              <a:srgbClr val="1f4e78"/>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'Comparable Companies'!$A$4:$A$11</c:f>
              <c:strCache>
                <c:ptCount val="8"/>
                <c:pt idx="0">
                  <c:v>HDFC Bank</c:v>
                </c:pt>
                <c:pt idx="1">
                  <c:v>ICICI Bank</c:v>
                </c:pt>
                <c:pt idx="2">
                  <c:v>Axis Bank</c:v>
                </c:pt>
                <c:pt idx="3">
                  <c:v>Kotak Mahindra Bank</c:v>
                </c:pt>
                <c:pt idx="4">
                  <c:v>Punjab National Bank</c:v>
                </c:pt>
                <c:pt idx="5">
                  <c:v>Bank of Baroda</c:v>
                </c:pt>
                <c:pt idx="6">
                  <c:v>Canara Bank</c:v>
                </c:pt>
                <c:pt idx="7">
                  <c:v>State Bank of India (Target)</c:v>
                </c:pt>
              </c:strCache>
            </c:strRef>
          </c:cat>
          <c:val>
            <c:numRef>
              <c:f>'Comparable Companies'!$D$4:$D$11</c:f>
              <c:numCache>
                <c:formatCode>0.00\x</c:formatCode>
                <c:ptCount val="8"/>
                <c:pt idx="0">
                  <c:v>14.98</c:v>
                </c:pt>
                <c:pt idx="1">
                  <c:v>18.24</c:v>
                </c:pt>
                <c:pt idx="2">
                  <c:v>13.3</c:v>
                </c:pt>
                <c:pt idx="3">
                  <c:v>20.29</c:v>
                </c:pt>
                <c:pt idx="4">
                  <c:v>7</c:v>
                </c:pt>
                <c:pt idx="5">
                  <c:v>7.21</c:v>
                </c:pt>
                <c:pt idx="6">
                  <c:v>6.39</c:v>
                </c:pt>
                <c:pt idx="7">
                  <c:v>10.9</c:v>
                </c:pt>
              </c:numCache>
            </c:numRef>
          </c:val>
        </c:ser>
        <c:gapWidth val="150"/>
        <c:overlap val="0"/>
        <c:axId val="57861804"/>
        <c:axId val="34628089"/>
      </c:barChart>
      <c:catAx>
        <c:axId val="5786180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Company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4628089"/>
        <c:crosses val="autoZero"/>
        <c:auto val="1"/>
        <c:lblAlgn val="ctr"/>
        <c:lblOffset val="100"/>
        <c:noMultiLvlLbl val="0"/>
      </c:catAx>
      <c:valAx>
        <c:axId val="3462808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 (x)</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786180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Peer P/B Comparison</a:t>
            </a:r>
          </a:p>
        </c:rich>
      </c:tx>
      <c:overlay val="0"/>
      <c:spPr>
        <a:noFill/>
        <a:ln w="0">
          <a:noFill/>
        </a:ln>
      </c:spPr>
    </c:title>
    <c:autoTitleDeleted val="0"/>
    <c:plotArea>
      <c:barChart>
        <c:barDir val="col"/>
        <c:grouping val="clustered"/>
        <c:varyColors val="0"/>
        <c:ser>
          <c:idx val="0"/>
          <c:order val="0"/>
          <c:tx>
            <c:strRef>
              <c:f>'Comparable Companies'!E3</c:f>
              <c:strCache>
                <c:ptCount val="1"/>
                <c:pt idx="0">
                  <c:v>P/B (x)</c:v>
                </c:pt>
              </c:strCache>
            </c:strRef>
          </c:tx>
          <c:spPr>
            <a:solidFill>
              <a:srgbClr val="bf8f00"/>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'Comparable Companies'!$A$4:$A$11</c:f>
              <c:strCache>
                <c:ptCount val="8"/>
                <c:pt idx="0">
                  <c:v>HDFC Bank</c:v>
                </c:pt>
                <c:pt idx="1">
                  <c:v>ICICI Bank</c:v>
                </c:pt>
                <c:pt idx="2">
                  <c:v>Axis Bank</c:v>
                </c:pt>
                <c:pt idx="3">
                  <c:v>Kotak Mahindra Bank</c:v>
                </c:pt>
                <c:pt idx="4">
                  <c:v>Punjab National Bank</c:v>
                </c:pt>
                <c:pt idx="5">
                  <c:v>Bank of Baroda</c:v>
                </c:pt>
                <c:pt idx="6">
                  <c:v>Canara Bank</c:v>
                </c:pt>
                <c:pt idx="7">
                  <c:v>State Bank of India (Target)</c:v>
                </c:pt>
              </c:strCache>
            </c:strRef>
          </c:cat>
          <c:val>
            <c:numRef>
              <c:f>'Comparable Companies'!$E$4:$E$11</c:f>
              <c:numCache>
                <c:formatCode>0.00\x</c:formatCode>
                <c:ptCount val="8"/>
                <c:pt idx="0">
                  <c:v>1.87</c:v>
                </c:pt>
                <c:pt idx="1">
                  <c:v>2.74</c:v>
                </c:pt>
                <c:pt idx="2">
                  <c:v>1.67</c:v>
                </c:pt>
                <c:pt idx="3">
                  <c:v>2.21</c:v>
                </c:pt>
                <c:pt idx="4">
                  <c:v>0.84</c:v>
                </c:pt>
                <c:pt idx="5">
                  <c:v>0.87</c:v>
                </c:pt>
                <c:pt idx="6">
                  <c:v>1.03</c:v>
                </c:pt>
                <c:pt idx="7">
                  <c:v>1.47</c:v>
                </c:pt>
              </c:numCache>
            </c:numRef>
          </c:val>
        </c:ser>
        <c:gapWidth val="150"/>
        <c:overlap val="0"/>
        <c:axId val="90833890"/>
        <c:axId val="31514902"/>
      </c:barChart>
      <c:catAx>
        <c:axId val="9083389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Company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1514902"/>
        <c:crosses val="autoZero"/>
        <c:auto val="1"/>
        <c:lblAlgn val="ctr"/>
        <c:lblOffset val="100"/>
        <c:noMultiLvlLbl val="0"/>
      </c:catAx>
      <c:valAx>
        <c:axId val="31514902"/>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P/B (x)</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08338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ROE vs. P/B Positioning</a:t>
            </a:r>
          </a:p>
        </c:rich>
      </c:tx>
      <c:overlay val="0"/>
      <c:spPr>
        <a:noFill/>
        <a:ln w="0">
          <a:noFill/>
        </a:ln>
      </c:spPr>
    </c:title>
    <c:autoTitleDeleted val="0"/>
    <c:plotArea>
      <c:scatterChart>
        <c:scatterStyle val="lineMarker"/>
        <c:varyColors val="0"/>
        <c:ser>
          <c:idx val="0"/>
          <c:order val="0"/>
          <c:tx>
            <c:strRef>
              <c:f>"Peers &amp; SBI"</c:f>
              <c:strCache>
                <c:ptCount val="1"/>
                <c:pt idx="0">
                  <c:v>Peers &amp; SBI</c:v>
                </c:pt>
              </c:strCache>
            </c:strRef>
          </c:tx>
          <c:spPr>
            <a:solidFill>
              <a:srgbClr val="ffffff"/>
            </a:solidFill>
            <a:ln w="28440">
              <a:noFill/>
            </a:ln>
          </c:spPr>
          <c:marker>
            <c:symbol val="circle"/>
            <c:size val="9"/>
            <c:spPr>
              <a:no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'Comparable Companies'!$F$4:$F$11</c:f>
              <c:numCache>
                <c:formatCode>0.0%</c:formatCode>
                <c:ptCount val="8"/>
                <c:pt idx="0">
                  <c:v>0.1249</c:v>
                </c:pt>
                <c:pt idx="1">
                  <c:v>0.1502</c:v>
                </c:pt>
                <c:pt idx="2">
                  <c:v>0.1326</c:v>
                </c:pt>
                <c:pt idx="3">
                  <c:v>0.1089</c:v>
                </c:pt>
                <c:pt idx="4">
                  <c:v>0.124</c:v>
                </c:pt>
                <c:pt idx="5">
                  <c:v>0.1164</c:v>
                </c:pt>
                <c:pt idx="6">
                  <c:v>0.161</c:v>
                </c:pt>
                <c:pt idx="7">
                  <c:v>0.1857</c:v>
                </c:pt>
              </c:numCache>
            </c:numRef>
          </c:xVal>
          <c:yVal>
            <c:numRef>
              <c:f>'Comparable Companies'!$E$4:$E$11</c:f>
              <c:numCache>
                <c:formatCode>0.00\x</c:formatCode>
                <c:ptCount val="8"/>
                <c:pt idx="0">
                  <c:v>1.87</c:v>
                </c:pt>
                <c:pt idx="1">
                  <c:v>2.74</c:v>
                </c:pt>
                <c:pt idx="2">
                  <c:v>1.67</c:v>
                </c:pt>
                <c:pt idx="3">
                  <c:v>2.21</c:v>
                </c:pt>
                <c:pt idx="4">
                  <c:v>0.84</c:v>
                </c:pt>
                <c:pt idx="5">
                  <c:v>0.87</c:v>
                </c:pt>
                <c:pt idx="6">
                  <c:v>1.03</c:v>
                </c:pt>
                <c:pt idx="7">
                  <c:v>1.47</c:v>
                </c:pt>
              </c:numCache>
            </c:numRef>
          </c:yVal>
          <c:smooth val="1"/>
        </c:ser>
        <c:axId val="24117083"/>
        <c:axId val="7104288"/>
      </c:scatterChart>
      <c:valAx>
        <c:axId val="24117083"/>
        <c:scaling>
          <c:orientation val="minMax"/>
        </c:scaling>
        <c:delete val="0"/>
        <c:axPos val="b"/>
        <c:majorGridlines>
          <c:spPr>
            <a:ln w="0">
              <a:solidFill>
                <a:srgbClr val="b3b3b3"/>
              </a:solidFill>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Return on Equity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104288"/>
        <c:crosses val="autoZero"/>
        <c:crossBetween val="midCat"/>
      </c:valAx>
      <c:valAx>
        <c:axId val="7104288"/>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Price-to-Book (x)</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117083"/>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Peer Market Cap Comparison</a:t>
            </a:r>
          </a:p>
        </c:rich>
      </c:tx>
      <c:overlay val="0"/>
      <c:spPr>
        <a:noFill/>
        <a:ln w="0">
          <a:noFill/>
        </a:ln>
      </c:spPr>
    </c:title>
    <c:autoTitleDeleted val="0"/>
    <c:plotArea>
      <c:barChart>
        <c:barDir val="col"/>
        <c:grouping val="clustered"/>
        <c:varyColors val="0"/>
        <c:ser>
          <c:idx val="0"/>
          <c:order val="0"/>
          <c:tx>
            <c:strRef>
              <c:f>'Comparable Companies'!C3</c:f>
              <c:strCache>
                <c:ptCount val="1"/>
                <c:pt idx="0">
                  <c:v>Mkt Cap (₹cr)</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'Comparable Companies'!$A$4:$A$11</c:f>
              <c:strCache>
                <c:ptCount val="8"/>
                <c:pt idx="0">
                  <c:v>HDFC Bank</c:v>
                </c:pt>
                <c:pt idx="1">
                  <c:v>ICICI Bank</c:v>
                </c:pt>
                <c:pt idx="2">
                  <c:v>Axis Bank</c:v>
                </c:pt>
                <c:pt idx="3">
                  <c:v>Kotak Mahindra Bank</c:v>
                </c:pt>
                <c:pt idx="4">
                  <c:v>Punjab National Bank</c:v>
                </c:pt>
                <c:pt idx="5">
                  <c:v>Bank of Baroda</c:v>
                </c:pt>
                <c:pt idx="6">
                  <c:v>Canara Bank</c:v>
                </c:pt>
                <c:pt idx="7">
                  <c:v>State Bank of India (Target)</c:v>
                </c:pt>
              </c:strCache>
            </c:strRef>
          </c:cat>
          <c:val>
            <c:numRef>
              <c:f>'Comparable Companies'!$C$4:$C$11</c:f>
              <c:numCache>
                <c:formatCode>#,##0;\(#,##0\);\-</c:formatCode>
                <c:ptCount val="8"/>
                <c:pt idx="0">
                  <c:v>1398000</c:v>
                </c:pt>
                <c:pt idx="1">
                  <c:v>1022835</c:v>
                </c:pt>
                <c:pt idx="2">
                  <c:v>387515</c:v>
                </c:pt>
                <c:pt idx="3">
                  <c:v>411842</c:v>
                </c:pt>
                <c:pt idx="4">
                  <c:v>125000</c:v>
                </c:pt>
                <c:pt idx="5">
                  <c:v>144359</c:v>
                </c:pt>
                <c:pt idx="6">
                  <c:v>114200</c:v>
                </c:pt>
                <c:pt idx="7">
                  <c:v>903216</c:v>
                </c:pt>
              </c:numCache>
            </c:numRef>
          </c:val>
        </c:ser>
        <c:gapWidth val="150"/>
        <c:overlap val="0"/>
        <c:axId val="66114768"/>
        <c:axId val="84147715"/>
      </c:barChart>
      <c:catAx>
        <c:axId val="6611476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Company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4147715"/>
        <c:crosses val="autoZero"/>
        <c:auto val="1"/>
        <c:lblAlgn val="ctr"/>
        <c:lblOffset val="100"/>
        <c:noMultiLvlLbl val="0"/>
      </c:catAx>
      <c:valAx>
        <c:axId val="8414771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crore</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11476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Price Target vs. Current Price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Valuation!$A$35:$A$36</c:f>
              <c:strCache>
                <c:ptCount val="2"/>
                <c:pt idx="0">
                  <c:v>Rounded 12-Month Price Target (₹)</c:v>
                </c:pt>
                <c:pt idx="1">
                  <c:v>Current Share Price (₹, 25-Sep-2026)</c:v>
                </c:pt>
              </c:strCache>
            </c:strRef>
          </c:cat>
          <c:val>
            <c:numRef>
              <c:f>Valuation!$B$35:$B$36</c:f>
              <c:numCache>
                <c:formatCode>\₹#,##0.00</c:formatCode>
                <c:ptCount val="2"/>
                <c:pt idx="0">
                  <c:v>955</c:v>
                </c:pt>
                <c:pt idx="1">
                  <c:v>983</c:v>
                </c:pt>
              </c:numCache>
            </c:numRef>
          </c:val>
        </c:ser>
        <c:gapWidth val="150"/>
        <c:overlap val="0"/>
        <c:axId val="8303093"/>
        <c:axId val="48914506"/>
      </c:barChart>
      <c:catAx>
        <c:axId val="830309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None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8914506"/>
        <c:crosses val="autoZero"/>
        <c:auto val="1"/>
        <c:lblAlgn val="ctr"/>
        <c:lblOffset val="100"/>
        <c:noMultiLvlLbl val="0"/>
      </c:catAx>
      <c:valAx>
        <c:axId val="48914506"/>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share</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30309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Relationship Id="rId22" Type="http://schemas.openxmlformats.org/officeDocument/2006/relationships/chart" Target="../charts/chart22.xml"/><Relationship Id="rId23" Type="http://schemas.openxmlformats.org/officeDocument/2006/relationships/chart" Target="../charts/chart23.xml"/><Relationship Id="rId24" Type="http://schemas.openxmlformats.org/officeDocument/2006/relationships/chart" Target="../charts/chart24.xml"/><Relationship Id="rId25" Type="http://schemas.openxmlformats.org/officeDocument/2006/relationships/chart" Target="../charts/chart25.xml"/><Relationship Id="rId26" Type="http://schemas.openxmlformats.org/officeDocument/2006/relationships/chart" Target="../charts/chart26.xml"/><Relationship Id="rId27" Type="http://schemas.openxmlformats.org/officeDocument/2006/relationships/chart" Target="../charts/chart27.xml"/><Relationship Id="rId28" Type="http://schemas.openxmlformats.org/officeDocument/2006/relationships/chart" Target="../charts/chart28.xml"/><Relationship Id="rId29" Type="http://schemas.openxmlformats.org/officeDocument/2006/relationships/chart" Target="../charts/chart2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9</xdr:col>
      <xdr:colOff>218880</xdr:colOff>
      <xdr:row>21</xdr:row>
      <xdr:rowOff>10440</xdr:rowOff>
    </xdr:to>
    <xdr:graphicFrame>
      <xdr:nvGraphicFramePr>
        <xdr:cNvPr id="0" name="Chart 1"/>
        <xdr:cNvGraphicFramePr/>
      </xdr:nvGraphicFramePr>
      <xdr:xfrm>
        <a:off x="211320" y="1181160"/>
        <a:ext cx="5588640" cy="305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5</xdr:row>
      <xdr:rowOff>0</xdr:rowOff>
    </xdr:from>
    <xdr:to>
      <xdr:col>17</xdr:col>
      <xdr:colOff>219240</xdr:colOff>
      <xdr:row>21</xdr:row>
      <xdr:rowOff>10440</xdr:rowOff>
    </xdr:to>
    <xdr:graphicFrame>
      <xdr:nvGraphicFramePr>
        <xdr:cNvPr id="1" name="Chart 2"/>
        <xdr:cNvGraphicFramePr/>
      </xdr:nvGraphicFramePr>
      <xdr:xfrm>
        <a:off x="5581080" y="1181160"/>
        <a:ext cx="5588640" cy="305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0</xdr:rowOff>
    </xdr:from>
    <xdr:to>
      <xdr:col>9</xdr:col>
      <xdr:colOff>218880</xdr:colOff>
      <xdr:row>40</xdr:row>
      <xdr:rowOff>10440</xdr:rowOff>
    </xdr:to>
    <xdr:graphicFrame>
      <xdr:nvGraphicFramePr>
        <xdr:cNvPr id="2" name="Chart 3"/>
        <xdr:cNvGraphicFramePr/>
      </xdr:nvGraphicFramePr>
      <xdr:xfrm>
        <a:off x="211320" y="4800600"/>
        <a:ext cx="5588640" cy="3058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24</xdr:row>
      <xdr:rowOff>0</xdr:rowOff>
    </xdr:from>
    <xdr:to>
      <xdr:col>17</xdr:col>
      <xdr:colOff>219240</xdr:colOff>
      <xdr:row>40</xdr:row>
      <xdr:rowOff>10440</xdr:rowOff>
    </xdr:to>
    <xdr:graphicFrame>
      <xdr:nvGraphicFramePr>
        <xdr:cNvPr id="3" name="Chart 4"/>
        <xdr:cNvGraphicFramePr/>
      </xdr:nvGraphicFramePr>
      <xdr:xfrm>
        <a:off x="5581080" y="4800600"/>
        <a:ext cx="5588640" cy="3058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44</xdr:row>
      <xdr:rowOff>0</xdr:rowOff>
    </xdr:from>
    <xdr:to>
      <xdr:col>9</xdr:col>
      <xdr:colOff>218880</xdr:colOff>
      <xdr:row>60</xdr:row>
      <xdr:rowOff>10440</xdr:rowOff>
    </xdr:to>
    <xdr:graphicFrame>
      <xdr:nvGraphicFramePr>
        <xdr:cNvPr id="4" name="Chart 5"/>
        <xdr:cNvGraphicFramePr/>
      </xdr:nvGraphicFramePr>
      <xdr:xfrm>
        <a:off x="211320" y="8667720"/>
        <a:ext cx="5588640" cy="305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44</xdr:row>
      <xdr:rowOff>0</xdr:rowOff>
    </xdr:from>
    <xdr:to>
      <xdr:col>17</xdr:col>
      <xdr:colOff>219240</xdr:colOff>
      <xdr:row>60</xdr:row>
      <xdr:rowOff>10440</xdr:rowOff>
    </xdr:to>
    <xdr:graphicFrame>
      <xdr:nvGraphicFramePr>
        <xdr:cNvPr id="5" name="Chart 6"/>
        <xdr:cNvGraphicFramePr/>
      </xdr:nvGraphicFramePr>
      <xdr:xfrm>
        <a:off x="5581080" y="8667720"/>
        <a:ext cx="5588640" cy="30585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63</xdr:row>
      <xdr:rowOff>0</xdr:rowOff>
    </xdr:from>
    <xdr:to>
      <xdr:col>9</xdr:col>
      <xdr:colOff>218880</xdr:colOff>
      <xdr:row>79</xdr:row>
      <xdr:rowOff>10440</xdr:rowOff>
    </xdr:to>
    <xdr:graphicFrame>
      <xdr:nvGraphicFramePr>
        <xdr:cNvPr id="6" name="Chart 7"/>
        <xdr:cNvGraphicFramePr/>
      </xdr:nvGraphicFramePr>
      <xdr:xfrm>
        <a:off x="211320" y="12287160"/>
        <a:ext cx="5588640" cy="30585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63</xdr:row>
      <xdr:rowOff>0</xdr:rowOff>
    </xdr:from>
    <xdr:to>
      <xdr:col>17</xdr:col>
      <xdr:colOff>219240</xdr:colOff>
      <xdr:row>79</xdr:row>
      <xdr:rowOff>10440</xdr:rowOff>
    </xdr:to>
    <xdr:graphicFrame>
      <xdr:nvGraphicFramePr>
        <xdr:cNvPr id="7" name="Chart 8"/>
        <xdr:cNvGraphicFramePr/>
      </xdr:nvGraphicFramePr>
      <xdr:xfrm>
        <a:off x="5581080" y="12287160"/>
        <a:ext cx="5588640" cy="30585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82</xdr:row>
      <xdr:rowOff>0</xdr:rowOff>
    </xdr:from>
    <xdr:to>
      <xdr:col>9</xdr:col>
      <xdr:colOff>218880</xdr:colOff>
      <xdr:row>98</xdr:row>
      <xdr:rowOff>10440</xdr:rowOff>
    </xdr:to>
    <xdr:graphicFrame>
      <xdr:nvGraphicFramePr>
        <xdr:cNvPr id="8" name="Chart 9"/>
        <xdr:cNvGraphicFramePr/>
      </xdr:nvGraphicFramePr>
      <xdr:xfrm>
        <a:off x="211320" y="15906600"/>
        <a:ext cx="5588640" cy="305856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0</xdr:colOff>
      <xdr:row>82</xdr:row>
      <xdr:rowOff>0</xdr:rowOff>
    </xdr:from>
    <xdr:to>
      <xdr:col>17</xdr:col>
      <xdr:colOff>219240</xdr:colOff>
      <xdr:row>98</xdr:row>
      <xdr:rowOff>10440</xdr:rowOff>
    </xdr:to>
    <xdr:graphicFrame>
      <xdr:nvGraphicFramePr>
        <xdr:cNvPr id="9" name="Chart 10"/>
        <xdr:cNvGraphicFramePr/>
      </xdr:nvGraphicFramePr>
      <xdr:xfrm>
        <a:off x="5581080" y="15906600"/>
        <a:ext cx="5588640" cy="305856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0</xdr:colOff>
      <xdr:row>102</xdr:row>
      <xdr:rowOff>0</xdr:rowOff>
    </xdr:from>
    <xdr:to>
      <xdr:col>9</xdr:col>
      <xdr:colOff>218880</xdr:colOff>
      <xdr:row>118</xdr:row>
      <xdr:rowOff>10800</xdr:rowOff>
    </xdr:to>
    <xdr:graphicFrame>
      <xdr:nvGraphicFramePr>
        <xdr:cNvPr id="10" name="Chart 11"/>
        <xdr:cNvGraphicFramePr/>
      </xdr:nvGraphicFramePr>
      <xdr:xfrm>
        <a:off x="211320" y="19774080"/>
        <a:ext cx="5588640" cy="305856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0</xdr:colOff>
      <xdr:row>102</xdr:row>
      <xdr:rowOff>0</xdr:rowOff>
    </xdr:from>
    <xdr:to>
      <xdr:col>17</xdr:col>
      <xdr:colOff>219240</xdr:colOff>
      <xdr:row>118</xdr:row>
      <xdr:rowOff>10800</xdr:rowOff>
    </xdr:to>
    <xdr:graphicFrame>
      <xdr:nvGraphicFramePr>
        <xdr:cNvPr id="11" name="Chart 12"/>
        <xdr:cNvGraphicFramePr/>
      </xdr:nvGraphicFramePr>
      <xdr:xfrm>
        <a:off x="5581080" y="19774080"/>
        <a:ext cx="5588640" cy="305856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0</xdr:colOff>
      <xdr:row>121</xdr:row>
      <xdr:rowOff>0</xdr:rowOff>
    </xdr:from>
    <xdr:to>
      <xdr:col>9</xdr:col>
      <xdr:colOff>218880</xdr:colOff>
      <xdr:row>137</xdr:row>
      <xdr:rowOff>10800</xdr:rowOff>
    </xdr:to>
    <xdr:graphicFrame>
      <xdr:nvGraphicFramePr>
        <xdr:cNvPr id="12" name="Chart 13"/>
        <xdr:cNvGraphicFramePr/>
      </xdr:nvGraphicFramePr>
      <xdr:xfrm>
        <a:off x="211320" y="23393520"/>
        <a:ext cx="5588640" cy="305856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121</xdr:row>
      <xdr:rowOff>0</xdr:rowOff>
    </xdr:from>
    <xdr:to>
      <xdr:col>17</xdr:col>
      <xdr:colOff>219240</xdr:colOff>
      <xdr:row>137</xdr:row>
      <xdr:rowOff>10800</xdr:rowOff>
    </xdr:to>
    <xdr:graphicFrame>
      <xdr:nvGraphicFramePr>
        <xdr:cNvPr id="13" name="Chart 14"/>
        <xdr:cNvGraphicFramePr/>
      </xdr:nvGraphicFramePr>
      <xdr:xfrm>
        <a:off x="5581080" y="23393520"/>
        <a:ext cx="5588640" cy="305856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0</xdr:colOff>
      <xdr:row>140</xdr:row>
      <xdr:rowOff>0</xdr:rowOff>
    </xdr:from>
    <xdr:to>
      <xdr:col>9</xdr:col>
      <xdr:colOff>218880</xdr:colOff>
      <xdr:row>156</xdr:row>
      <xdr:rowOff>10440</xdr:rowOff>
    </xdr:to>
    <xdr:graphicFrame>
      <xdr:nvGraphicFramePr>
        <xdr:cNvPr id="14" name="Chart 15"/>
        <xdr:cNvGraphicFramePr/>
      </xdr:nvGraphicFramePr>
      <xdr:xfrm>
        <a:off x="211320" y="27012960"/>
        <a:ext cx="5588640" cy="305856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0</xdr:colOff>
      <xdr:row>140</xdr:row>
      <xdr:rowOff>0</xdr:rowOff>
    </xdr:from>
    <xdr:to>
      <xdr:col>17</xdr:col>
      <xdr:colOff>219240</xdr:colOff>
      <xdr:row>156</xdr:row>
      <xdr:rowOff>10440</xdr:rowOff>
    </xdr:to>
    <xdr:graphicFrame>
      <xdr:nvGraphicFramePr>
        <xdr:cNvPr id="15" name="Chart 16"/>
        <xdr:cNvGraphicFramePr/>
      </xdr:nvGraphicFramePr>
      <xdr:xfrm>
        <a:off x="5581080" y="27012960"/>
        <a:ext cx="5588640" cy="305856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0</xdr:colOff>
      <xdr:row>159</xdr:row>
      <xdr:rowOff>0</xdr:rowOff>
    </xdr:from>
    <xdr:to>
      <xdr:col>9</xdr:col>
      <xdr:colOff>218880</xdr:colOff>
      <xdr:row>175</xdr:row>
      <xdr:rowOff>10440</xdr:rowOff>
    </xdr:to>
    <xdr:graphicFrame>
      <xdr:nvGraphicFramePr>
        <xdr:cNvPr id="16" name="Chart 17"/>
        <xdr:cNvGraphicFramePr/>
      </xdr:nvGraphicFramePr>
      <xdr:xfrm>
        <a:off x="211320" y="30632400"/>
        <a:ext cx="5588640" cy="305856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xdr:col>
      <xdr:colOff>0</xdr:colOff>
      <xdr:row>159</xdr:row>
      <xdr:rowOff>0</xdr:rowOff>
    </xdr:from>
    <xdr:to>
      <xdr:col>17</xdr:col>
      <xdr:colOff>219240</xdr:colOff>
      <xdr:row>175</xdr:row>
      <xdr:rowOff>10440</xdr:rowOff>
    </xdr:to>
    <xdr:graphicFrame>
      <xdr:nvGraphicFramePr>
        <xdr:cNvPr id="17" name="Chart 18"/>
        <xdr:cNvGraphicFramePr/>
      </xdr:nvGraphicFramePr>
      <xdr:xfrm>
        <a:off x="5581080" y="30632400"/>
        <a:ext cx="5588640" cy="305856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xdr:col>
      <xdr:colOff>0</xdr:colOff>
      <xdr:row>179</xdr:row>
      <xdr:rowOff>0</xdr:rowOff>
    </xdr:from>
    <xdr:to>
      <xdr:col>9</xdr:col>
      <xdr:colOff>218880</xdr:colOff>
      <xdr:row>195</xdr:row>
      <xdr:rowOff>10440</xdr:rowOff>
    </xdr:to>
    <xdr:graphicFrame>
      <xdr:nvGraphicFramePr>
        <xdr:cNvPr id="18" name="Chart 19"/>
        <xdr:cNvGraphicFramePr/>
      </xdr:nvGraphicFramePr>
      <xdr:xfrm>
        <a:off x="211320" y="34499520"/>
        <a:ext cx="5588640" cy="305856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9</xdr:col>
      <xdr:colOff>0</xdr:colOff>
      <xdr:row>179</xdr:row>
      <xdr:rowOff>0</xdr:rowOff>
    </xdr:from>
    <xdr:to>
      <xdr:col>17</xdr:col>
      <xdr:colOff>219240</xdr:colOff>
      <xdr:row>195</xdr:row>
      <xdr:rowOff>10440</xdr:rowOff>
    </xdr:to>
    <xdr:graphicFrame>
      <xdr:nvGraphicFramePr>
        <xdr:cNvPr id="19" name="Chart 20"/>
        <xdr:cNvGraphicFramePr/>
      </xdr:nvGraphicFramePr>
      <xdr:xfrm>
        <a:off x="5581080" y="34499520"/>
        <a:ext cx="5588640" cy="30585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xdr:col>
      <xdr:colOff>0</xdr:colOff>
      <xdr:row>198</xdr:row>
      <xdr:rowOff>0</xdr:rowOff>
    </xdr:from>
    <xdr:to>
      <xdr:col>9</xdr:col>
      <xdr:colOff>218880</xdr:colOff>
      <xdr:row>214</xdr:row>
      <xdr:rowOff>10440</xdr:rowOff>
    </xdr:to>
    <xdr:graphicFrame>
      <xdr:nvGraphicFramePr>
        <xdr:cNvPr id="20" name="Chart 21"/>
        <xdr:cNvGraphicFramePr/>
      </xdr:nvGraphicFramePr>
      <xdr:xfrm>
        <a:off x="211320" y="38118960"/>
        <a:ext cx="5588640" cy="305856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9</xdr:col>
      <xdr:colOff>0</xdr:colOff>
      <xdr:row>198</xdr:row>
      <xdr:rowOff>0</xdr:rowOff>
    </xdr:from>
    <xdr:to>
      <xdr:col>17</xdr:col>
      <xdr:colOff>219240</xdr:colOff>
      <xdr:row>214</xdr:row>
      <xdr:rowOff>10440</xdr:rowOff>
    </xdr:to>
    <xdr:graphicFrame>
      <xdr:nvGraphicFramePr>
        <xdr:cNvPr id="21" name="Chart 22"/>
        <xdr:cNvGraphicFramePr/>
      </xdr:nvGraphicFramePr>
      <xdr:xfrm>
        <a:off x="5581080" y="38118960"/>
        <a:ext cx="5588640" cy="305856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xdr:col>
      <xdr:colOff>0</xdr:colOff>
      <xdr:row>218</xdr:row>
      <xdr:rowOff>0</xdr:rowOff>
    </xdr:from>
    <xdr:to>
      <xdr:col>9</xdr:col>
      <xdr:colOff>218880</xdr:colOff>
      <xdr:row>234</xdr:row>
      <xdr:rowOff>10440</xdr:rowOff>
    </xdr:to>
    <xdr:graphicFrame>
      <xdr:nvGraphicFramePr>
        <xdr:cNvPr id="22" name="Chart 23"/>
        <xdr:cNvGraphicFramePr/>
      </xdr:nvGraphicFramePr>
      <xdr:xfrm>
        <a:off x="211320" y="41986080"/>
        <a:ext cx="5588640" cy="305856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9</xdr:col>
      <xdr:colOff>0</xdr:colOff>
      <xdr:row>218</xdr:row>
      <xdr:rowOff>0</xdr:rowOff>
    </xdr:from>
    <xdr:to>
      <xdr:col>17</xdr:col>
      <xdr:colOff>219240</xdr:colOff>
      <xdr:row>234</xdr:row>
      <xdr:rowOff>10440</xdr:rowOff>
    </xdr:to>
    <xdr:graphicFrame>
      <xdr:nvGraphicFramePr>
        <xdr:cNvPr id="23" name="Chart 24"/>
        <xdr:cNvGraphicFramePr/>
      </xdr:nvGraphicFramePr>
      <xdr:xfrm>
        <a:off x="5581080" y="41986080"/>
        <a:ext cx="5588640" cy="305856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xdr:col>
      <xdr:colOff>0</xdr:colOff>
      <xdr:row>237</xdr:row>
      <xdr:rowOff>0</xdr:rowOff>
    </xdr:from>
    <xdr:to>
      <xdr:col>9</xdr:col>
      <xdr:colOff>218880</xdr:colOff>
      <xdr:row>253</xdr:row>
      <xdr:rowOff>10800</xdr:rowOff>
    </xdr:to>
    <xdr:graphicFrame>
      <xdr:nvGraphicFramePr>
        <xdr:cNvPr id="24" name="Chart 25"/>
        <xdr:cNvGraphicFramePr/>
      </xdr:nvGraphicFramePr>
      <xdr:xfrm>
        <a:off x="211320" y="45605880"/>
        <a:ext cx="5588640" cy="305856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9</xdr:col>
      <xdr:colOff>0</xdr:colOff>
      <xdr:row>237</xdr:row>
      <xdr:rowOff>0</xdr:rowOff>
    </xdr:from>
    <xdr:to>
      <xdr:col>17</xdr:col>
      <xdr:colOff>219240</xdr:colOff>
      <xdr:row>253</xdr:row>
      <xdr:rowOff>10800</xdr:rowOff>
    </xdr:to>
    <xdr:graphicFrame>
      <xdr:nvGraphicFramePr>
        <xdr:cNvPr id="25" name="Chart 26"/>
        <xdr:cNvGraphicFramePr/>
      </xdr:nvGraphicFramePr>
      <xdr:xfrm>
        <a:off x="5581080" y="45605880"/>
        <a:ext cx="5588640" cy="305856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1</xdr:col>
      <xdr:colOff>0</xdr:colOff>
      <xdr:row>256</xdr:row>
      <xdr:rowOff>0</xdr:rowOff>
    </xdr:from>
    <xdr:to>
      <xdr:col>9</xdr:col>
      <xdr:colOff>218880</xdr:colOff>
      <xdr:row>272</xdr:row>
      <xdr:rowOff>10800</xdr:rowOff>
    </xdr:to>
    <xdr:graphicFrame>
      <xdr:nvGraphicFramePr>
        <xdr:cNvPr id="26" name="Chart 27"/>
        <xdr:cNvGraphicFramePr/>
      </xdr:nvGraphicFramePr>
      <xdr:xfrm>
        <a:off x="211320" y="49225320"/>
        <a:ext cx="5588640" cy="305856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9</xdr:col>
      <xdr:colOff>0</xdr:colOff>
      <xdr:row>256</xdr:row>
      <xdr:rowOff>0</xdr:rowOff>
    </xdr:from>
    <xdr:to>
      <xdr:col>17</xdr:col>
      <xdr:colOff>219240</xdr:colOff>
      <xdr:row>272</xdr:row>
      <xdr:rowOff>10800</xdr:rowOff>
    </xdr:to>
    <xdr:graphicFrame>
      <xdr:nvGraphicFramePr>
        <xdr:cNvPr id="27" name="Chart 28"/>
        <xdr:cNvGraphicFramePr/>
      </xdr:nvGraphicFramePr>
      <xdr:xfrm>
        <a:off x="5581080" y="49225320"/>
        <a:ext cx="5588640" cy="305856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1</xdr:col>
      <xdr:colOff>0</xdr:colOff>
      <xdr:row>275</xdr:row>
      <xdr:rowOff>0</xdr:rowOff>
    </xdr:from>
    <xdr:to>
      <xdr:col>9</xdr:col>
      <xdr:colOff>218880</xdr:colOff>
      <xdr:row>291</xdr:row>
      <xdr:rowOff>10440</xdr:rowOff>
    </xdr:to>
    <xdr:graphicFrame>
      <xdr:nvGraphicFramePr>
        <xdr:cNvPr id="28" name="Chart 29"/>
        <xdr:cNvGraphicFramePr/>
      </xdr:nvGraphicFramePr>
      <xdr:xfrm>
        <a:off x="211320" y="52844760"/>
        <a:ext cx="5588640" cy="305856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46"/>
    <col collapsed="false" customWidth="true" hidden="false" outlineLevel="0" max="4" min="4" style="1" width="30"/>
    <col collapsed="false" customWidth="true" hidden="false" outlineLevel="0" max="5" min="5" style="1" width="4"/>
    <col collapsed="false" customWidth="true" hidden="false" outlineLevel="0" max="11" min="6" style="1" width="13.5"/>
  </cols>
  <sheetData>
    <row r="1" customFormat="false" ht="15" hidden="false" customHeight="true" outlineLevel="0" collapsed="false">
      <c r="A1" s="2"/>
      <c r="B1" s="2"/>
      <c r="C1" s="2"/>
      <c r="D1" s="2"/>
      <c r="E1" s="2"/>
    </row>
    <row r="2" customFormat="false" ht="15" hidden="false" customHeight="true" outlineLevel="0" collapsed="false">
      <c r="A2" s="2"/>
      <c r="B2" s="2"/>
      <c r="C2" s="2"/>
      <c r="D2" s="2"/>
      <c r="E2" s="2"/>
    </row>
    <row r="3" customFormat="false" ht="15" hidden="false" customHeight="true" outlineLevel="0" collapsed="false">
      <c r="A3" s="2"/>
      <c r="B3" s="2"/>
      <c r="C3" s="2"/>
      <c r="D3" s="2"/>
      <c r="E3" s="2"/>
    </row>
    <row r="4" customFormat="false" ht="15" hidden="false" customHeight="true" outlineLevel="0" collapsed="false">
      <c r="A4" s="3"/>
      <c r="B4" s="3"/>
      <c r="C4" s="3"/>
      <c r="D4" s="3"/>
      <c r="E4" s="3"/>
    </row>
    <row r="5" customFormat="false" ht="15" hidden="false" customHeight="true" outlineLevel="0" collapsed="false">
      <c r="A5" s="3"/>
      <c r="B5" s="3"/>
      <c r="C5" s="3"/>
      <c r="D5" s="3"/>
      <c r="E5" s="3"/>
    </row>
    <row r="6" customFormat="false" ht="31.5" hidden="false" customHeight="true" outlineLevel="0" collapsed="false">
      <c r="A6" s="3"/>
      <c r="B6" s="4" t="s">
        <v>0</v>
      </c>
      <c r="C6" s="4"/>
      <c r="D6" s="4"/>
      <c r="E6" s="3"/>
    </row>
    <row r="7" customFormat="false" ht="15" hidden="false" customHeight="true" outlineLevel="0" collapsed="false">
      <c r="A7" s="3"/>
      <c r="B7" s="3"/>
      <c r="C7" s="3"/>
      <c r="D7" s="3"/>
      <c r="E7" s="3"/>
    </row>
    <row r="8" customFormat="false" ht="15" hidden="false" customHeight="true" outlineLevel="0" collapsed="false">
      <c r="A8" s="3"/>
      <c r="B8" s="5" t="s">
        <v>1</v>
      </c>
      <c r="C8" s="5"/>
      <c r="D8" s="5"/>
      <c r="E8" s="3"/>
    </row>
    <row r="9" customFormat="false" ht="15" hidden="false" customHeight="true" outlineLevel="0" collapsed="false">
      <c r="A9" s="3"/>
      <c r="B9" s="3"/>
      <c r="C9" s="3"/>
      <c r="D9" s="3"/>
      <c r="E9" s="3"/>
    </row>
    <row r="10" customFormat="false" ht="19.5" hidden="false" customHeight="true" outlineLevel="0" collapsed="false">
      <c r="A10" s="3"/>
      <c r="B10" s="6" t="s">
        <v>2</v>
      </c>
      <c r="C10" s="6"/>
      <c r="D10" s="6"/>
      <c r="E10" s="3"/>
    </row>
    <row r="11" customFormat="false" ht="15" hidden="false" customHeight="true" outlineLevel="0" collapsed="false">
      <c r="A11" s="3"/>
      <c r="B11" s="7" t="s">
        <v>3</v>
      </c>
      <c r="C11" s="7"/>
      <c r="D11" s="7"/>
      <c r="E11" s="3"/>
    </row>
    <row r="12" customFormat="false" ht="15" hidden="false" customHeight="true" outlineLevel="0" collapsed="false">
      <c r="A12" s="3"/>
      <c r="B12" s="3"/>
      <c r="C12" s="3"/>
      <c r="D12" s="3"/>
      <c r="E12" s="3"/>
    </row>
    <row r="13" customFormat="false" ht="15" hidden="false" customHeight="true" outlineLevel="0" collapsed="false">
      <c r="A13" s="3"/>
      <c r="B13" s="3"/>
      <c r="C13" s="3"/>
      <c r="D13" s="3"/>
      <c r="E13" s="3"/>
    </row>
    <row r="14" customFormat="false" ht="15" hidden="false" customHeight="true" outlineLevel="0" collapsed="false">
      <c r="A14" s="3"/>
      <c r="B14" s="8" t="s">
        <v>4</v>
      </c>
      <c r="C14" s="8"/>
      <c r="D14" s="8"/>
      <c r="E14" s="3"/>
    </row>
    <row r="15" customFormat="false" ht="15" hidden="false" customHeight="true" outlineLevel="0" collapsed="false">
      <c r="A15" s="3"/>
      <c r="B15" s="9" t="s">
        <v>5</v>
      </c>
      <c r="C15" s="9"/>
      <c r="D15" s="9"/>
      <c r="E15" s="3"/>
    </row>
    <row r="16" customFormat="false" ht="15" hidden="false" customHeight="true" outlineLevel="0" collapsed="false">
      <c r="A16" s="3"/>
      <c r="B16" s="3"/>
      <c r="C16" s="3"/>
      <c r="D16" s="3"/>
      <c r="E16" s="3"/>
    </row>
    <row r="17" customFormat="false" ht="15" hidden="false" customHeight="true" outlineLevel="0" collapsed="false">
      <c r="A17" s="3"/>
      <c r="B17" s="3"/>
      <c r="C17" s="3"/>
      <c r="D17" s="3"/>
      <c r="E17" s="3"/>
    </row>
    <row r="18" customFormat="false" ht="15" hidden="false" customHeight="true" outlineLevel="0" collapsed="false">
      <c r="A18" s="3"/>
      <c r="B18" s="10" t="s">
        <v>6</v>
      </c>
      <c r="C18" s="10"/>
      <c r="D18" s="10"/>
      <c r="E18" s="3"/>
    </row>
    <row r="19" customFormat="false" ht="15" hidden="false" customHeight="true" outlineLevel="0" collapsed="false">
      <c r="A19" s="3"/>
      <c r="B19" s="11" t="s">
        <v>7</v>
      </c>
      <c r="C19" s="11"/>
      <c r="D19" s="11"/>
      <c r="E19" s="3"/>
    </row>
    <row r="20" customFormat="false" ht="15" hidden="false" customHeight="true" outlineLevel="0" collapsed="false">
      <c r="A20" s="3"/>
      <c r="B20" s="11" t="s">
        <v>8</v>
      </c>
      <c r="C20" s="11"/>
      <c r="D20" s="11"/>
      <c r="E20" s="3"/>
    </row>
    <row r="21" customFormat="false" ht="15" hidden="false" customHeight="true" outlineLevel="0" collapsed="false">
      <c r="A21" s="3"/>
      <c r="B21" s="11" t="s">
        <v>9</v>
      </c>
      <c r="C21" s="11"/>
      <c r="D21" s="11"/>
      <c r="E21" s="3"/>
    </row>
    <row r="22" customFormat="false" ht="15" hidden="false" customHeight="true" outlineLevel="0" collapsed="false">
      <c r="A22" s="3"/>
      <c r="B22" s="11" t="s">
        <v>10</v>
      </c>
      <c r="C22" s="11"/>
      <c r="D22" s="11"/>
      <c r="E22" s="3"/>
    </row>
    <row r="23" customFormat="false" ht="15" hidden="false" customHeight="true" outlineLevel="0" collapsed="false">
      <c r="A23" s="3"/>
      <c r="B23" s="11" t="s">
        <v>11</v>
      </c>
      <c r="C23" s="11"/>
      <c r="D23" s="11"/>
      <c r="E23" s="3"/>
    </row>
    <row r="24" customFormat="false" ht="15" hidden="false" customHeight="true" outlineLevel="0" collapsed="false">
      <c r="A24" s="3"/>
      <c r="B24" s="11" t="s">
        <v>12</v>
      </c>
      <c r="C24" s="11"/>
      <c r="D24" s="11"/>
      <c r="E24" s="3"/>
    </row>
    <row r="25" customFormat="false" ht="15" hidden="false" customHeight="true" outlineLevel="0" collapsed="false">
      <c r="A25" s="3"/>
      <c r="B25" s="11" t="s">
        <v>13</v>
      </c>
      <c r="C25" s="11"/>
      <c r="D25" s="11"/>
      <c r="E25" s="3"/>
    </row>
    <row r="26" customFormat="false" ht="15" hidden="false" customHeight="true" outlineLevel="0" collapsed="false">
      <c r="A26" s="3"/>
      <c r="B26" s="11" t="s">
        <v>14</v>
      </c>
      <c r="C26" s="11"/>
      <c r="D26" s="11"/>
      <c r="E26" s="3"/>
    </row>
    <row r="27" customFormat="false" ht="15" hidden="false" customHeight="true" outlineLevel="0" collapsed="false">
      <c r="A27" s="3"/>
      <c r="B27" s="11" t="s">
        <v>15</v>
      </c>
      <c r="C27" s="11"/>
      <c r="D27" s="11"/>
      <c r="E27" s="3"/>
    </row>
    <row r="28" customFormat="false" ht="15" hidden="false" customHeight="true" outlineLevel="0" collapsed="false">
      <c r="A28" s="3"/>
      <c r="B28" s="11" t="s">
        <v>16</v>
      </c>
      <c r="C28" s="11"/>
      <c r="D28" s="11"/>
      <c r="E28" s="3"/>
    </row>
    <row r="29" customFormat="false" ht="15" hidden="false" customHeight="true" outlineLevel="0" collapsed="false">
      <c r="A29" s="3"/>
      <c r="B29" s="11" t="s">
        <v>17</v>
      </c>
      <c r="C29" s="11"/>
      <c r="D29" s="11"/>
      <c r="E29" s="3"/>
    </row>
    <row r="30" customFormat="false" ht="15" hidden="false" customHeight="true" outlineLevel="0" collapsed="false">
      <c r="A30" s="3"/>
      <c r="B30" s="3"/>
      <c r="C30" s="3"/>
      <c r="D30" s="3"/>
      <c r="E30" s="3"/>
    </row>
    <row r="31" customFormat="false" ht="15" hidden="false" customHeight="true" outlineLevel="0" collapsed="false">
      <c r="A31" s="3"/>
      <c r="B31" s="12" t="s">
        <v>18</v>
      </c>
      <c r="C31" s="12"/>
      <c r="D31" s="12"/>
      <c r="E31" s="3"/>
    </row>
    <row r="32" customFormat="false" ht="15" hidden="false" customHeight="true" outlineLevel="0" collapsed="false">
      <c r="A32" s="3"/>
      <c r="B32" s="3"/>
      <c r="C32" s="3"/>
      <c r="D32" s="3"/>
      <c r="E32" s="3"/>
    </row>
    <row r="33" customFormat="false" ht="15" hidden="false" customHeight="true" outlineLevel="0" collapsed="false">
      <c r="A33" s="3"/>
      <c r="B33" s="3"/>
      <c r="C33" s="3"/>
      <c r="D33" s="3"/>
      <c r="E33" s="3"/>
    </row>
  </sheetData>
  <mergeCells count="20">
    <mergeCell ref="A1:E3"/>
    <mergeCell ref="B6:D6"/>
    <mergeCell ref="B8:D8"/>
    <mergeCell ref="B10:D10"/>
    <mergeCell ref="B11:D11"/>
    <mergeCell ref="B14:D14"/>
    <mergeCell ref="B15:D15"/>
    <mergeCell ref="B18:D18"/>
    <mergeCell ref="B19:D19"/>
    <mergeCell ref="B20:D20"/>
    <mergeCell ref="B21:D21"/>
    <mergeCell ref="B22:D22"/>
    <mergeCell ref="B23:D23"/>
    <mergeCell ref="B24:D24"/>
    <mergeCell ref="B25:D25"/>
    <mergeCell ref="B26:D26"/>
    <mergeCell ref="B27:D27"/>
    <mergeCell ref="B28:D28"/>
    <mergeCell ref="B29:D29"/>
    <mergeCell ref="B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3.5"/>
  </cols>
  <sheetData>
    <row r="1" customFormat="false" ht="25.5" hidden="false" customHeight="true" outlineLevel="0" collapsed="false">
      <c r="A1" s="13" t="s">
        <v>19</v>
      </c>
      <c r="B1" s="13"/>
      <c r="C1" s="13"/>
      <c r="D1" s="13"/>
      <c r="E1" s="13"/>
      <c r="F1" s="13"/>
      <c r="G1" s="13"/>
      <c r="H1" s="13"/>
      <c r="I1" s="13"/>
      <c r="J1" s="13"/>
      <c r="K1" s="13"/>
    </row>
    <row r="2" customFormat="false" ht="15.75" hidden="false" customHeight="true" outlineLevel="0" collapsed="false">
      <c r="A2" s="14" t="s">
        <v>20</v>
      </c>
      <c r="B2" s="14"/>
      <c r="C2" s="14"/>
      <c r="D2" s="14"/>
      <c r="E2" s="14"/>
      <c r="F2" s="14"/>
      <c r="G2" s="14"/>
      <c r="H2" s="14"/>
      <c r="I2" s="14"/>
      <c r="J2" s="14"/>
      <c r="K2" s="14"/>
    </row>
    <row r="3" customFormat="false" ht="18" hidden="false" customHeight="true" outlineLevel="0" collapsed="false">
      <c r="A3" s="15" t="s">
        <v>21</v>
      </c>
      <c r="B3" s="16" t="s">
        <v>22</v>
      </c>
      <c r="C3" s="16" t="s">
        <v>23</v>
      </c>
      <c r="D3" s="16" t="s">
        <v>24</v>
      </c>
      <c r="E3" s="16" t="s">
        <v>25</v>
      </c>
      <c r="F3" s="16" t="s">
        <v>26</v>
      </c>
      <c r="G3" s="17" t="s">
        <v>27</v>
      </c>
      <c r="H3" s="17" t="s">
        <v>28</v>
      </c>
      <c r="I3" s="17" t="s">
        <v>29</v>
      </c>
      <c r="J3" s="17" t="s">
        <v>30</v>
      </c>
      <c r="K3" s="17" t="s">
        <v>31</v>
      </c>
    </row>
    <row r="4" customFormat="false" ht="16.5" hidden="false" customHeight="true" outlineLevel="0" collapsed="false">
      <c r="A4" s="18" t="s">
        <v>32</v>
      </c>
      <c r="B4" s="18"/>
      <c r="C4" s="18"/>
      <c r="D4" s="18"/>
      <c r="E4" s="18"/>
      <c r="F4" s="18"/>
      <c r="G4" s="18"/>
      <c r="H4" s="18"/>
      <c r="I4" s="18"/>
      <c r="J4" s="18"/>
      <c r="K4" s="18"/>
    </row>
    <row r="5" customFormat="false" ht="15" hidden="false" customHeight="true" outlineLevel="0" collapsed="false">
      <c r="A5" s="19" t="s">
        <v>33</v>
      </c>
      <c r="B5" s="20" t="n">
        <v>0.165</v>
      </c>
      <c r="C5" s="20" t="n">
        <v>0.17</v>
      </c>
      <c r="D5" s="20" t="n">
        <v>0.17</v>
      </c>
      <c r="E5" s="20" t="n">
        <v>0.17</v>
      </c>
      <c r="F5" s="20" t="n">
        <v>0.1539</v>
      </c>
      <c r="G5" s="20" t="n">
        <v>0.15</v>
      </c>
      <c r="H5" s="20" t="n">
        <v>0.14</v>
      </c>
      <c r="I5" s="20" t="n">
        <v>0.13</v>
      </c>
      <c r="J5" s="20" t="n">
        <v>0.125</v>
      </c>
      <c r="K5" s="20" t="n">
        <v>0.12</v>
      </c>
    </row>
    <row r="6" customFormat="false" ht="15" hidden="false" customHeight="true" outlineLevel="0" collapsed="false">
      <c r="A6" s="19" t="s">
        <v>34</v>
      </c>
      <c r="B6" s="20" t="n">
        <v>0.12</v>
      </c>
      <c r="C6" s="20" t="n">
        <v>0.12</v>
      </c>
      <c r="D6" s="20" t="n">
        <v>0.12</v>
      </c>
      <c r="E6" s="20" t="n">
        <v>0.12</v>
      </c>
      <c r="F6" s="20" t="n">
        <v>0.1968</v>
      </c>
      <c r="G6" s="20" t="n">
        <v>0.14</v>
      </c>
      <c r="H6" s="20" t="n">
        <v>0.13</v>
      </c>
      <c r="I6" s="20" t="n">
        <v>0.12</v>
      </c>
      <c r="J6" s="20" t="n">
        <v>0.11</v>
      </c>
      <c r="K6" s="20" t="n">
        <v>0.11</v>
      </c>
    </row>
    <row r="7" customFormat="false" ht="15" hidden="false" customHeight="true" outlineLevel="0" collapsed="false">
      <c r="A7" s="19" t="s">
        <v>35</v>
      </c>
      <c r="B7" s="20" t="n">
        <v>0.16</v>
      </c>
      <c r="C7" s="20" t="n">
        <v>0.16</v>
      </c>
      <c r="D7" s="20" t="n">
        <v>0.16</v>
      </c>
      <c r="E7" s="20" t="n">
        <v>0.16</v>
      </c>
      <c r="F7" s="20" t="n">
        <v>0.2099</v>
      </c>
      <c r="G7" s="20" t="n">
        <v>0.17</v>
      </c>
      <c r="H7" s="20" t="n">
        <v>0.16</v>
      </c>
      <c r="I7" s="20" t="n">
        <v>0.15</v>
      </c>
      <c r="J7" s="20" t="n">
        <v>0.14</v>
      </c>
      <c r="K7" s="20" t="n">
        <v>0.13</v>
      </c>
    </row>
    <row r="8" customFormat="false" ht="15" hidden="false" customHeight="true" outlineLevel="0" collapsed="false">
      <c r="A8" s="19" t="s">
        <v>36</v>
      </c>
      <c r="B8" s="20" t="n">
        <v>0.1</v>
      </c>
      <c r="C8" s="20" t="n">
        <v>0.133</v>
      </c>
      <c r="D8" s="20" t="n">
        <v>0.1222</v>
      </c>
      <c r="E8" s="20" t="n">
        <v>-0.0064</v>
      </c>
      <c r="F8" s="20" t="n">
        <v>0.1483</v>
      </c>
      <c r="G8" s="20" t="n">
        <v>0.12</v>
      </c>
      <c r="H8" s="20" t="n">
        <v>0.12</v>
      </c>
      <c r="I8" s="20" t="n">
        <v>0.125</v>
      </c>
      <c r="J8" s="20" t="n">
        <v>0.13</v>
      </c>
      <c r="K8" s="20" t="n">
        <v>0.13</v>
      </c>
    </row>
    <row r="9" customFormat="false" ht="15" hidden="false" customHeight="true" outlineLevel="0" collapsed="false">
      <c r="A9" s="19" t="s">
        <v>37</v>
      </c>
      <c r="B9" s="20" t="n">
        <v>0.1</v>
      </c>
      <c r="C9" s="20" t="n">
        <v>0.2676</v>
      </c>
      <c r="D9" s="20" t="n">
        <v>0.2545</v>
      </c>
      <c r="E9" s="20" t="n">
        <v>0.2582</v>
      </c>
      <c r="F9" s="20" t="n">
        <v>0.2001</v>
      </c>
      <c r="G9" s="20" t="n">
        <v>0.16</v>
      </c>
      <c r="H9" s="20" t="n">
        <v>0.15</v>
      </c>
      <c r="I9" s="20" t="n">
        <v>0.14</v>
      </c>
      <c r="J9" s="20" t="n">
        <v>0.13</v>
      </c>
      <c r="K9" s="20" t="n">
        <v>0.12</v>
      </c>
    </row>
    <row r="10" customFormat="false" ht="15" hidden="false" customHeight="true" outlineLevel="0" collapsed="false">
      <c r="A10" s="19" t="s">
        <v>38</v>
      </c>
      <c r="B10" s="20" t="n">
        <v>0.095</v>
      </c>
      <c r="C10" s="20" t="n">
        <v>0.1029</v>
      </c>
      <c r="D10" s="20" t="n">
        <v>0.1114</v>
      </c>
      <c r="E10" s="20" t="n">
        <v>0.0837</v>
      </c>
      <c r="F10" s="20" t="n">
        <v>0.1102</v>
      </c>
      <c r="G10" s="20" t="n">
        <v>0.12</v>
      </c>
      <c r="H10" s="20" t="n">
        <v>0.115</v>
      </c>
      <c r="I10" s="20" t="n">
        <v>0.115</v>
      </c>
      <c r="J10" s="20" t="n">
        <v>0.11</v>
      </c>
      <c r="K10" s="20" t="n">
        <v>0.11</v>
      </c>
    </row>
    <row r="11" customFormat="false" ht="15" hidden="false" customHeight="true" outlineLevel="0" collapsed="false">
      <c r="A11" s="19" t="s">
        <v>39</v>
      </c>
      <c r="B11" s="21" t="n">
        <v>0.4533</v>
      </c>
      <c r="C11" s="21" t="n">
        <v>0.426</v>
      </c>
      <c r="D11" s="21" t="n">
        <v>0.408</v>
      </c>
      <c r="E11" s="21" t="n">
        <v>0.3997</v>
      </c>
      <c r="F11" s="21" t="n">
        <v>0.3946</v>
      </c>
      <c r="G11" s="21" t="n">
        <v>0.39</v>
      </c>
      <c r="H11" s="21" t="n">
        <v>0.387</v>
      </c>
      <c r="I11" s="21" t="n">
        <v>0.385</v>
      </c>
      <c r="J11" s="21" t="n">
        <v>0.385</v>
      </c>
      <c r="K11" s="21" t="n">
        <v>0.385</v>
      </c>
    </row>
    <row r="13" customFormat="false" ht="16.5" hidden="false" customHeight="true" outlineLevel="0" collapsed="false">
      <c r="A13" s="18" t="s">
        <v>40</v>
      </c>
      <c r="B13" s="18"/>
      <c r="C13" s="18"/>
      <c r="D13" s="18"/>
      <c r="E13" s="18"/>
      <c r="F13" s="18"/>
      <c r="G13" s="18"/>
      <c r="H13" s="18"/>
      <c r="I13" s="18"/>
      <c r="J13" s="18"/>
      <c r="K13" s="18"/>
    </row>
    <row r="14" customFormat="false" ht="15" hidden="false" customHeight="true" outlineLevel="0" collapsed="false">
      <c r="A14" s="19" t="s">
        <v>41</v>
      </c>
      <c r="B14" s="20" t="n">
        <v>0.073</v>
      </c>
      <c r="C14" s="20" t="n">
        <v>0.076</v>
      </c>
      <c r="D14" s="20" t="n">
        <v>0.079</v>
      </c>
      <c r="E14" s="20" t="n">
        <v>0.08</v>
      </c>
      <c r="F14" s="20" t="n">
        <v>0.079</v>
      </c>
      <c r="G14" s="20" t="n">
        <v>0.0795</v>
      </c>
      <c r="H14" s="20" t="n">
        <v>0.08</v>
      </c>
      <c r="I14" s="20" t="n">
        <v>0.0805</v>
      </c>
      <c r="J14" s="20" t="n">
        <v>0.0805</v>
      </c>
      <c r="K14" s="20" t="n">
        <v>0.0805</v>
      </c>
    </row>
    <row r="15" customFormat="false" ht="15" hidden="false" customHeight="true" outlineLevel="0" collapsed="false">
      <c r="A15" s="19" t="s">
        <v>42</v>
      </c>
      <c r="B15" s="20" t="n">
        <v>0.048</v>
      </c>
      <c r="C15" s="20" t="n">
        <v>0.051</v>
      </c>
      <c r="D15" s="20" t="n">
        <v>0.053</v>
      </c>
      <c r="E15" s="20" t="n">
        <v>0.054</v>
      </c>
      <c r="F15" s="20" t="n">
        <v>0.0545</v>
      </c>
      <c r="G15" s="20" t="n">
        <v>0.0545</v>
      </c>
      <c r="H15" s="20" t="n">
        <v>0.0545</v>
      </c>
      <c r="I15" s="20" t="n">
        <v>0.0545</v>
      </c>
      <c r="J15" s="20" t="n">
        <v>0.0545</v>
      </c>
      <c r="K15" s="20" t="n">
        <v>0.0545</v>
      </c>
    </row>
    <row r="16" customFormat="false" ht="15" hidden="false" customHeight="true" outlineLevel="0" collapsed="false">
      <c r="A16" s="19" t="s">
        <v>43</v>
      </c>
      <c r="B16" s="20" t="n">
        <v>0.059</v>
      </c>
      <c r="C16" s="20" t="n">
        <v>0.0587</v>
      </c>
      <c r="D16" s="20" t="n">
        <v>0.0561</v>
      </c>
      <c r="E16" s="20" t="n">
        <v>0.0575</v>
      </c>
      <c r="F16" s="20" t="n">
        <v>0.0525</v>
      </c>
      <c r="G16" s="20" t="n">
        <v>0.056</v>
      </c>
      <c r="H16" s="20" t="n">
        <v>0.0575</v>
      </c>
      <c r="I16" s="20" t="n">
        <v>0.059</v>
      </c>
      <c r="J16" s="20" t="n">
        <v>0.06</v>
      </c>
      <c r="K16" s="20" t="n">
        <v>0.0605</v>
      </c>
    </row>
    <row r="17" customFormat="false" ht="15" hidden="false" customHeight="true" outlineLevel="0" collapsed="false">
      <c r="A17" s="19" t="s">
        <v>44</v>
      </c>
      <c r="B17" s="20" t="n">
        <v>0.023</v>
      </c>
      <c r="C17" s="20" t="n">
        <v>0.0245</v>
      </c>
      <c r="D17" s="20" t="n">
        <v>0.026</v>
      </c>
      <c r="E17" s="20" t="n">
        <v>0.027</v>
      </c>
      <c r="F17" s="20" t="n">
        <v>0.027</v>
      </c>
      <c r="G17" s="20" t="n">
        <v>0.027</v>
      </c>
      <c r="H17" s="20" t="n">
        <v>0.027</v>
      </c>
      <c r="I17" s="20" t="n">
        <v>0.0265</v>
      </c>
      <c r="J17" s="20" t="n">
        <v>0.0265</v>
      </c>
      <c r="K17" s="20" t="n">
        <v>0.0265</v>
      </c>
    </row>
    <row r="18" customFormat="false" ht="15" hidden="false" customHeight="true" outlineLevel="0" collapsed="false">
      <c r="A18" s="19" t="s">
        <v>45</v>
      </c>
      <c r="B18" s="20" t="n">
        <v>0.055</v>
      </c>
      <c r="C18" s="20" t="n">
        <v>0.058</v>
      </c>
      <c r="D18" s="20" t="n">
        <v>0.0605</v>
      </c>
      <c r="E18" s="20" t="n">
        <v>0.064</v>
      </c>
      <c r="F18" s="20" t="n">
        <v>0.0655</v>
      </c>
      <c r="G18" s="20" t="n">
        <v>0.066</v>
      </c>
      <c r="H18" s="20" t="n">
        <v>0.065</v>
      </c>
      <c r="I18" s="20" t="n">
        <v>0.064</v>
      </c>
      <c r="J18" s="20" t="n">
        <v>0.064</v>
      </c>
      <c r="K18" s="20" t="n">
        <v>0.064</v>
      </c>
    </row>
    <row r="19" customFormat="false" ht="15" hidden="false" customHeight="true" outlineLevel="0" collapsed="false">
      <c r="A19" s="19" t="s">
        <v>46</v>
      </c>
      <c r="B19" s="20" t="n">
        <v>0.058</v>
      </c>
      <c r="C19" s="20" t="n">
        <v>0.062</v>
      </c>
      <c r="D19" s="20" t="n">
        <v>0.065</v>
      </c>
      <c r="E19" s="20" t="n">
        <v>0.067</v>
      </c>
      <c r="F19" s="20" t="n">
        <v>0.068</v>
      </c>
      <c r="G19" s="20" t="n">
        <v>0.068</v>
      </c>
      <c r="H19" s="20" t="n">
        <v>0.068</v>
      </c>
      <c r="I19" s="20" t="n">
        <v>0.0675</v>
      </c>
      <c r="J19" s="20" t="n">
        <v>0.0675</v>
      </c>
      <c r="K19" s="20" t="n">
        <v>0.0675</v>
      </c>
    </row>
    <row r="21" customFormat="false" ht="16.5" hidden="false" customHeight="true" outlineLevel="0" collapsed="false">
      <c r="A21" s="18" t="s">
        <v>47</v>
      </c>
      <c r="B21" s="18"/>
      <c r="C21" s="18"/>
      <c r="D21" s="18"/>
      <c r="E21" s="18"/>
      <c r="F21" s="18"/>
      <c r="G21" s="18"/>
      <c r="H21" s="18"/>
      <c r="I21" s="18"/>
      <c r="J21" s="18"/>
      <c r="K21" s="18"/>
    </row>
    <row r="22" customFormat="false" ht="15" hidden="false" customHeight="true" outlineLevel="0" collapsed="false">
      <c r="A22" s="19" t="s">
        <v>48</v>
      </c>
      <c r="B22" s="20" t="n">
        <v>0.08</v>
      </c>
      <c r="C22" s="20" t="n">
        <v>0.1296</v>
      </c>
      <c r="D22" s="20" t="n">
        <v>0.1362</v>
      </c>
      <c r="E22" s="20" t="n">
        <v>0.1293</v>
      </c>
      <c r="F22" s="20" t="n">
        <v>0.1285</v>
      </c>
      <c r="G22" s="20" t="n">
        <v>0.12</v>
      </c>
      <c r="H22" s="20" t="n">
        <v>0.12</v>
      </c>
      <c r="I22" s="20" t="n">
        <v>0.12</v>
      </c>
      <c r="J22" s="20" t="n">
        <v>0.12</v>
      </c>
      <c r="K22" s="20" t="n">
        <v>0.12</v>
      </c>
    </row>
    <row r="23" customFormat="false" ht="15" hidden="false" customHeight="true" outlineLevel="0" collapsed="false">
      <c r="A23" s="19" t="s">
        <v>49</v>
      </c>
      <c r="B23" s="20" t="n">
        <v>0.1</v>
      </c>
      <c r="C23" s="20" t="n">
        <v>2.5789</v>
      </c>
      <c r="D23" s="20" t="n">
        <v>0.2059</v>
      </c>
      <c r="E23" s="20" t="n">
        <v>0.1098</v>
      </c>
      <c r="F23" s="20" t="n">
        <v>0.6264</v>
      </c>
      <c r="G23" s="20" t="n">
        <v>-0.3</v>
      </c>
      <c r="H23" s="20" t="n">
        <v>0.08</v>
      </c>
      <c r="I23" s="20" t="n">
        <v>0.08</v>
      </c>
      <c r="J23" s="20" t="n">
        <v>0.08</v>
      </c>
      <c r="K23" s="20" t="n">
        <v>0.08</v>
      </c>
    </row>
    <row r="24" customFormat="false" ht="15" hidden="false" customHeight="true" outlineLevel="0" collapsed="false">
      <c r="A24" s="19" t="s">
        <v>50</v>
      </c>
      <c r="B24" s="20" t="n">
        <v>0.08</v>
      </c>
      <c r="C24" s="20" t="n">
        <v>0.125</v>
      </c>
      <c r="D24" s="20" t="n">
        <v>0.1481</v>
      </c>
      <c r="E24" s="20" t="n">
        <v>0.1613</v>
      </c>
      <c r="F24" s="20" t="n">
        <v>1.3056</v>
      </c>
      <c r="G24" s="20" t="n">
        <v>-0.35</v>
      </c>
      <c r="H24" s="20" t="n">
        <v>0.08</v>
      </c>
      <c r="I24" s="20" t="n">
        <v>0.08</v>
      </c>
      <c r="J24" s="20" t="n">
        <v>0.08</v>
      </c>
      <c r="K24" s="20" t="n">
        <v>0.08</v>
      </c>
    </row>
    <row r="25" customFormat="false" ht="15" hidden="false" customHeight="true" outlineLevel="0" collapsed="false">
      <c r="A25" s="19" t="s">
        <v>51</v>
      </c>
      <c r="B25" s="20" t="n">
        <v>0.1</v>
      </c>
      <c r="C25" s="20" t="n">
        <v>0.2381</v>
      </c>
      <c r="D25" s="20" t="n">
        <v>0.2308</v>
      </c>
      <c r="E25" s="20" t="n">
        <v>0.2188</v>
      </c>
      <c r="F25" s="20" t="n">
        <v>0.1795</v>
      </c>
      <c r="G25" s="20" t="n">
        <v>0.1</v>
      </c>
      <c r="H25" s="20" t="n">
        <v>0.1</v>
      </c>
      <c r="I25" s="20" t="n">
        <v>0.1</v>
      </c>
      <c r="J25" s="20" t="n">
        <v>0.1</v>
      </c>
      <c r="K25" s="20" t="n">
        <v>0.1</v>
      </c>
    </row>
    <row r="26" customFormat="false" ht="15" hidden="false" customHeight="true" outlineLevel="0" collapsed="false">
      <c r="A26" s="19" t="s">
        <v>52</v>
      </c>
      <c r="B26" s="22" t="n">
        <v>0</v>
      </c>
      <c r="C26" s="22" t="n">
        <v>0</v>
      </c>
      <c r="D26" s="22" t="n">
        <v>0</v>
      </c>
      <c r="E26" s="22" t="n">
        <v>0</v>
      </c>
      <c r="F26" s="22" t="n">
        <v>4618</v>
      </c>
      <c r="G26" s="22" t="n">
        <v>0</v>
      </c>
      <c r="H26" s="22" t="n">
        <v>0</v>
      </c>
      <c r="I26" s="22" t="n">
        <v>0</v>
      </c>
      <c r="J26" s="22" t="n">
        <v>0</v>
      </c>
      <c r="K26" s="22" t="n">
        <v>0</v>
      </c>
    </row>
    <row r="28" customFormat="false" ht="16.5" hidden="false" customHeight="true" outlineLevel="0" collapsed="false">
      <c r="A28" s="18" t="s">
        <v>53</v>
      </c>
      <c r="B28" s="18"/>
      <c r="C28" s="18"/>
      <c r="D28" s="18"/>
      <c r="E28" s="18"/>
      <c r="F28" s="18"/>
      <c r="G28" s="18"/>
      <c r="H28" s="18"/>
      <c r="I28" s="18"/>
      <c r="J28" s="18"/>
      <c r="K28" s="18"/>
    </row>
    <row r="29" customFormat="false" ht="15" hidden="false" customHeight="true" outlineLevel="0" collapsed="false">
      <c r="A29" s="19" t="s">
        <v>54</v>
      </c>
      <c r="B29" s="20" t="n">
        <v>0.06</v>
      </c>
      <c r="C29" s="20" t="n">
        <v>0.0718</v>
      </c>
      <c r="D29" s="20" t="n">
        <v>0.2472</v>
      </c>
      <c r="E29" s="20" t="n">
        <v>-0.0754</v>
      </c>
      <c r="F29" s="20" t="n">
        <v>0.101</v>
      </c>
      <c r="G29" s="20" t="n">
        <v>0.08</v>
      </c>
      <c r="H29" s="20" t="n">
        <v>0.08</v>
      </c>
      <c r="I29" s="20" t="n">
        <v>0.08</v>
      </c>
      <c r="J29" s="20" t="n">
        <v>0.08</v>
      </c>
      <c r="K29" s="20" t="n">
        <v>0.08</v>
      </c>
    </row>
    <row r="30" customFormat="false" ht="15" hidden="false" customHeight="true" outlineLevel="0" collapsed="false">
      <c r="A30" s="19" t="s">
        <v>55</v>
      </c>
      <c r="B30" s="20" t="n">
        <v>0.09</v>
      </c>
      <c r="C30" s="20" t="n">
        <v>0.4886</v>
      </c>
      <c r="D30" s="20" t="n">
        <v>-0.1629</v>
      </c>
      <c r="E30" s="20" t="n">
        <v>0.1911</v>
      </c>
      <c r="F30" s="20" t="n">
        <v>0.1303</v>
      </c>
      <c r="G30" s="20" t="n">
        <v>0.11</v>
      </c>
      <c r="H30" s="20" t="n">
        <v>0.11</v>
      </c>
      <c r="I30" s="20" t="n">
        <v>0.11</v>
      </c>
      <c r="J30" s="20" t="n">
        <v>0.1</v>
      </c>
      <c r="K30" s="20" t="n">
        <v>0.1</v>
      </c>
    </row>
    <row r="32" customFormat="false" ht="16.5" hidden="false" customHeight="true" outlineLevel="0" collapsed="false">
      <c r="A32" s="18" t="s">
        <v>56</v>
      </c>
      <c r="B32" s="18"/>
      <c r="C32" s="18"/>
      <c r="D32" s="18"/>
      <c r="E32" s="18"/>
      <c r="F32" s="18"/>
      <c r="G32" s="18"/>
      <c r="H32" s="18"/>
      <c r="I32" s="18"/>
      <c r="J32" s="18"/>
      <c r="K32" s="18"/>
    </row>
    <row r="33" customFormat="false" ht="15" hidden="false" customHeight="true" outlineLevel="0" collapsed="false">
      <c r="A33" s="19" t="s">
        <v>57</v>
      </c>
      <c r="B33" s="20" t="n">
        <v>0.0068</v>
      </c>
      <c r="C33" s="20" t="n">
        <v>0.0046</v>
      </c>
      <c r="D33" s="20" t="n">
        <v>0.0032</v>
      </c>
      <c r="E33" s="20" t="n">
        <v>0.0026</v>
      </c>
      <c r="F33" s="20" t="n">
        <v>0.0023</v>
      </c>
      <c r="G33" s="20" t="n">
        <v>0.0042</v>
      </c>
      <c r="H33" s="20" t="n">
        <v>0.0042</v>
      </c>
      <c r="I33" s="20" t="n">
        <v>0.0045</v>
      </c>
      <c r="J33" s="20" t="n">
        <v>0.0045</v>
      </c>
      <c r="K33" s="20" t="n">
        <v>0.0045</v>
      </c>
    </row>
    <row r="34" customFormat="false" ht="15" hidden="false" customHeight="true" outlineLevel="0" collapsed="false">
      <c r="A34" s="19" t="s">
        <v>58</v>
      </c>
      <c r="B34" s="20" t="n">
        <v>0.0397</v>
      </c>
      <c r="C34" s="20" t="n">
        <v>0.0278</v>
      </c>
      <c r="D34" s="20" t="n">
        <v>0.0224</v>
      </c>
      <c r="E34" s="20" t="n">
        <v>0.0182</v>
      </c>
      <c r="F34" s="20" t="n">
        <v>0.0149</v>
      </c>
      <c r="G34" s="20" t="n">
        <v>0.0145</v>
      </c>
      <c r="H34" s="20" t="n">
        <v>0.0142</v>
      </c>
      <c r="I34" s="20" t="n">
        <v>0.014</v>
      </c>
      <c r="J34" s="20" t="n">
        <v>0.014</v>
      </c>
      <c r="K34" s="20" t="n">
        <v>0.014</v>
      </c>
    </row>
    <row r="35" customFormat="false" ht="15" hidden="false" customHeight="true" outlineLevel="0" collapsed="false">
      <c r="A35" s="19" t="s">
        <v>59</v>
      </c>
      <c r="B35" s="20" t="n">
        <v>0.0102</v>
      </c>
      <c r="C35" s="20" t="n">
        <v>0.0067</v>
      </c>
      <c r="D35" s="20" t="n">
        <v>0.0057</v>
      </c>
      <c r="E35" s="20" t="n">
        <v>0.0047</v>
      </c>
      <c r="F35" s="20" t="n">
        <v>0.0039</v>
      </c>
      <c r="G35" s="20" t="n">
        <v>0.0038</v>
      </c>
      <c r="H35" s="20" t="n">
        <v>0.0037</v>
      </c>
      <c r="I35" s="20" t="n">
        <v>0.0036</v>
      </c>
      <c r="J35" s="20" t="n">
        <v>0.0036</v>
      </c>
      <c r="K35" s="20" t="n">
        <v>0.0036</v>
      </c>
    </row>
    <row r="36" customFormat="false" ht="15" hidden="false" customHeight="true" outlineLevel="0" collapsed="false">
      <c r="A36" s="19" t="s">
        <v>60</v>
      </c>
      <c r="B36" s="21" t="n">
        <v>0.753</v>
      </c>
      <c r="C36" s="21" t="n">
        <v>0.768</v>
      </c>
      <c r="D36" s="21" t="n">
        <v>0.755</v>
      </c>
      <c r="E36" s="21" t="n">
        <v>0.7442</v>
      </c>
      <c r="F36" s="21" t="n">
        <v>0.7436</v>
      </c>
      <c r="G36" s="21" t="n">
        <v>0.745</v>
      </c>
      <c r="H36" s="21" t="n">
        <v>0.745</v>
      </c>
      <c r="I36" s="21" t="n">
        <v>0.745</v>
      </c>
      <c r="J36" s="21" t="n">
        <v>0.745</v>
      </c>
      <c r="K36" s="21" t="n">
        <v>0.745</v>
      </c>
    </row>
    <row r="37" customFormat="false" ht="15" hidden="false" customHeight="true" outlineLevel="0" collapsed="false">
      <c r="A37" s="19" t="s">
        <v>61</v>
      </c>
      <c r="B37" s="21" t="n">
        <v>0.1383</v>
      </c>
      <c r="C37" s="21" t="n">
        <v>0.1468</v>
      </c>
      <c r="D37" s="21" t="n">
        <v>0.1428</v>
      </c>
      <c r="E37" s="21" t="n">
        <v>0.1425</v>
      </c>
      <c r="F37" s="21" t="n">
        <v>0.154</v>
      </c>
      <c r="G37" s="21" t="n">
        <v>0.152</v>
      </c>
      <c r="H37" s="21" t="n">
        <v>0.153</v>
      </c>
      <c r="I37" s="21" t="n">
        <v>0.154</v>
      </c>
      <c r="J37" s="21" t="n">
        <v>0.154</v>
      </c>
      <c r="K37" s="21" t="n">
        <v>0.155</v>
      </c>
    </row>
    <row r="39" customFormat="false" ht="16.5" hidden="false" customHeight="true" outlineLevel="0" collapsed="false">
      <c r="A39" s="18" t="s">
        <v>62</v>
      </c>
      <c r="B39" s="18"/>
      <c r="C39" s="18"/>
      <c r="D39" s="18"/>
      <c r="E39" s="18"/>
      <c r="F39" s="18"/>
      <c r="G39" s="18"/>
      <c r="H39" s="18"/>
      <c r="I39" s="18"/>
      <c r="J39" s="18"/>
      <c r="K39" s="18"/>
    </row>
    <row r="40" customFormat="false" ht="15" hidden="false" customHeight="true" outlineLevel="0" collapsed="false">
      <c r="A40" s="19" t="s">
        <v>63</v>
      </c>
      <c r="B40" s="21" t="n">
        <v>0.32</v>
      </c>
      <c r="C40" s="21" t="n">
        <v>0.253</v>
      </c>
      <c r="D40" s="21" t="n">
        <v>0.252</v>
      </c>
      <c r="E40" s="21" t="n">
        <v>0.252</v>
      </c>
      <c r="F40" s="21" t="n">
        <v>0.252</v>
      </c>
      <c r="G40" s="21" t="n">
        <v>0.252</v>
      </c>
      <c r="H40" s="21" t="n">
        <v>0.252</v>
      </c>
      <c r="I40" s="21" t="n">
        <v>0.252</v>
      </c>
      <c r="J40" s="21" t="n">
        <v>0.252</v>
      </c>
      <c r="K40" s="21" t="n">
        <v>0.252</v>
      </c>
    </row>
    <row r="41" customFormat="false" ht="15" hidden="false" customHeight="true" outlineLevel="0" collapsed="false">
      <c r="A41" s="19" t="s">
        <v>64</v>
      </c>
      <c r="B41" s="21" t="n">
        <v>0.2</v>
      </c>
      <c r="C41" s="21" t="n">
        <v>0.2008</v>
      </c>
      <c r="D41" s="21" t="n">
        <v>0.2002</v>
      </c>
      <c r="E41" s="21" t="n">
        <v>0.2001</v>
      </c>
      <c r="F41" s="21" t="n">
        <v>0.1971</v>
      </c>
      <c r="G41" s="21" t="n">
        <v>0.215</v>
      </c>
      <c r="H41" s="21" t="n">
        <v>0.215</v>
      </c>
      <c r="I41" s="21" t="n">
        <v>0.215</v>
      </c>
      <c r="J41" s="21" t="n">
        <v>0.215</v>
      </c>
      <c r="K41" s="21" t="n">
        <v>0.215</v>
      </c>
    </row>
    <row r="42" customFormat="false" ht="15" hidden="false" customHeight="true" outlineLevel="0" collapsed="false">
      <c r="A42" s="19" t="s">
        <v>65</v>
      </c>
      <c r="B42" s="21" t="n">
        <v>0</v>
      </c>
      <c r="C42" s="21" t="n">
        <v>0</v>
      </c>
      <c r="D42" s="21" t="n">
        <v>0</v>
      </c>
      <c r="E42" s="21" t="n">
        <v>0</v>
      </c>
      <c r="F42" s="21" t="n">
        <v>0.0188</v>
      </c>
      <c r="G42" s="21" t="n">
        <v>0</v>
      </c>
      <c r="H42" s="21" t="n">
        <v>0</v>
      </c>
      <c r="I42" s="21" t="n">
        <v>0</v>
      </c>
      <c r="J42" s="21" t="n">
        <v>0</v>
      </c>
      <c r="K42" s="21" t="n">
        <v>0</v>
      </c>
    </row>
  </sheetData>
  <mergeCells count="8">
    <mergeCell ref="A1:K1"/>
    <mergeCell ref="A2:K2"/>
    <mergeCell ref="A4:K4"/>
    <mergeCell ref="A13:K13"/>
    <mergeCell ref="A21:K21"/>
    <mergeCell ref="A28:K28"/>
    <mergeCell ref="A32:K32"/>
    <mergeCell ref="A39:K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3.5"/>
  </cols>
  <sheetData>
    <row r="1" customFormat="false" ht="25.5" hidden="false" customHeight="true" outlineLevel="0" collapsed="false">
      <c r="A1" s="13" t="s">
        <v>66</v>
      </c>
      <c r="B1" s="13"/>
      <c r="C1" s="13"/>
      <c r="D1" s="13"/>
      <c r="E1" s="13"/>
      <c r="F1" s="13"/>
      <c r="G1" s="13"/>
      <c r="H1" s="13"/>
      <c r="I1" s="13"/>
      <c r="J1" s="13"/>
      <c r="K1" s="13"/>
    </row>
    <row r="2" customFormat="false" ht="15.75" hidden="false" customHeight="true" outlineLevel="0" collapsed="false">
      <c r="A2" s="14" t="s">
        <v>67</v>
      </c>
      <c r="B2" s="14"/>
      <c r="C2" s="14"/>
      <c r="D2" s="14"/>
      <c r="E2" s="14"/>
      <c r="F2" s="14"/>
      <c r="G2" s="14"/>
      <c r="H2" s="14"/>
      <c r="I2" s="14"/>
      <c r="J2" s="14"/>
      <c r="K2" s="14"/>
    </row>
    <row r="3" customFormat="false" ht="18" hidden="false" customHeight="true" outlineLevel="0" collapsed="false">
      <c r="A3" s="15" t="s">
        <v>21</v>
      </c>
      <c r="B3" s="16" t="s">
        <v>22</v>
      </c>
      <c r="C3" s="16" t="s">
        <v>23</v>
      </c>
      <c r="D3" s="16" t="s">
        <v>24</v>
      </c>
      <c r="E3" s="16" t="s">
        <v>25</v>
      </c>
      <c r="F3" s="16" t="s">
        <v>26</v>
      </c>
      <c r="G3" s="17" t="s">
        <v>27</v>
      </c>
      <c r="H3" s="17" t="s">
        <v>28</v>
      </c>
      <c r="I3" s="17" t="s">
        <v>29</v>
      </c>
      <c r="J3" s="17" t="s">
        <v>30</v>
      </c>
      <c r="K3" s="17" t="s">
        <v>31</v>
      </c>
    </row>
    <row r="4" customFormat="false" ht="16.5" hidden="false" customHeight="true" outlineLevel="0" collapsed="false">
      <c r="A4" s="18" t="s">
        <v>68</v>
      </c>
      <c r="B4" s="18"/>
      <c r="C4" s="18"/>
      <c r="D4" s="18"/>
      <c r="E4" s="18"/>
      <c r="F4" s="18"/>
      <c r="G4" s="18"/>
      <c r="H4" s="18"/>
      <c r="I4" s="18"/>
      <c r="J4" s="18"/>
      <c r="K4" s="18"/>
    </row>
    <row r="5" customFormat="false" ht="15" hidden="false" customHeight="true" outlineLevel="0" collapsed="false">
      <c r="A5" s="23" t="s">
        <v>69</v>
      </c>
      <c r="B5" s="23"/>
      <c r="C5" s="23"/>
      <c r="D5" s="23"/>
      <c r="E5" s="23"/>
      <c r="F5" s="23"/>
      <c r="G5" s="23"/>
      <c r="H5" s="23"/>
      <c r="I5" s="23"/>
      <c r="J5" s="23"/>
      <c r="K5" s="23"/>
    </row>
    <row r="6" customFormat="false" ht="15" hidden="false" customHeight="true" outlineLevel="0" collapsed="false">
      <c r="A6" s="24" t="s">
        <v>70</v>
      </c>
      <c r="B6" s="22" t="n">
        <v>564181</v>
      </c>
      <c r="C6" s="22" t="n">
        <v>660092</v>
      </c>
      <c r="D6" s="22" t="n">
        <v>772307</v>
      </c>
      <c r="E6" s="22" t="n">
        <v>903600</v>
      </c>
      <c r="F6" s="22" t="n">
        <v>1042640</v>
      </c>
      <c r="G6" s="25" t="n">
        <f aca="false">F6*(1+Assumptions!G5)</f>
        <v>1199036</v>
      </c>
      <c r="H6" s="25" t="n">
        <f aca="false">G6*(1+Assumptions!H5)</f>
        <v>1366901.04</v>
      </c>
      <c r="I6" s="25" t="n">
        <f aca="false">H6*(1+Assumptions!I5)</f>
        <v>1544598.1752</v>
      </c>
      <c r="J6" s="25" t="n">
        <f aca="false">I6*(1+Assumptions!J5)</f>
        <v>1737672.9471</v>
      </c>
      <c r="K6" s="25" t="n">
        <f aca="false">J6*(1+Assumptions!K5)</f>
        <v>1946193.700752</v>
      </c>
    </row>
    <row r="7" customFormat="false" ht="15" hidden="false" customHeight="true" outlineLevel="0" collapsed="false">
      <c r="A7" s="24" t="s">
        <v>71</v>
      </c>
      <c r="B7" s="22" t="n">
        <v>47015</v>
      </c>
      <c r="C7" s="22" t="n">
        <v>55008</v>
      </c>
      <c r="D7" s="22" t="n">
        <v>64359</v>
      </c>
      <c r="E7" s="22" t="n">
        <v>75300</v>
      </c>
      <c r="F7" s="22" t="n">
        <v>86887</v>
      </c>
      <c r="G7" s="25" t="n">
        <f aca="false">F7*(1+Assumptions!G5)</f>
        <v>99920.05</v>
      </c>
      <c r="H7" s="25" t="n">
        <f aca="false">G7*(1+Assumptions!H5)</f>
        <v>113908.857</v>
      </c>
      <c r="I7" s="25" t="n">
        <f aca="false">H7*(1+Assumptions!I5)</f>
        <v>128717.00841</v>
      </c>
      <c r="J7" s="25" t="n">
        <f aca="false">I7*(1+Assumptions!J5)</f>
        <v>144806.63446125</v>
      </c>
      <c r="K7" s="25" t="n">
        <f aca="false">J7*(1+Assumptions!K5)</f>
        <v>162183.4305966</v>
      </c>
    </row>
    <row r="8" customFormat="false" ht="15" hidden="false" customHeight="true" outlineLevel="0" collapsed="false">
      <c r="A8" s="24" t="s">
        <v>72</v>
      </c>
      <c r="B8" s="22" t="n">
        <v>329106</v>
      </c>
      <c r="C8" s="22" t="n">
        <v>385053</v>
      </c>
      <c r="D8" s="22" t="n">
        <v>450513</v>
      </c>
      <c r="E8" s="22" t="n">
        <v>527100</v>
      </c>
      <c r="F8" s="22" t="n">
        <v>608206</v>
      </c>
      <c r="G8" s="25" t="n">
        <f aca="false">F8*(1+Assumptions!G5)</f>
        <v>699436.9</v>
      </c>
      <c r="H8" s="25" t="n">
        <f aca="false">G8*(1+Assumptions!H5)</f>
        <v>797358.066</v>
      </c>
      <c r="I8" s="25" t="n">
        <f aca="false">H8*(1+Assumptions!I5)</f>
        <v>901014.61458</v>
      </c>
      <c r="J8" s="25" t="n">
        <f aca="false">I8*(1+Assumptions!J5)</f>
        <v>1013641.4414025</v>
      </c>
      <c r="K8" s="25" t="n">
        <f aca="false">J8*(1+Assumptions!K5)</f>
        <v>1135278.4143708</v>
      </c>
    </row>
    <row r="9" customFormat="false" ht="15" hidden="false" customHeight="true" outlineLevel="0" collapsed="false">
      <c r="A9" s="26" t="s">
        <v>73</v>
      </c>
      <c r="B9" s="27" t="n">
        <f aca="false">B6+B7+B8</f>
        <v>940302</v>
      </c>
      <c r="C9" s="27" t="n">
        <f aca="false">C6+C7+C8</f>
        <v>1100153</v>
      </c>
      <c r="D9" s="27" t="n">
        <f aca="false">D6+D7+D8</f>
        <v>1287179</v>
      </c>
      <c r="E9" s="27" t="n">
        <f aca="false">E6+E7+E8</f>
        <v>1506000</v>
      </c>
      <c r="F9" s="27" t="n">
        <f aca="false">F6+F7+F8</f>
        <v>1737733</v>
      </c>
      <c r="G9" s="27" t="n">
        <f aca="false">G6+G7+G8</f>
        <v>1998392.95</v>
      </c>
      <c r="H9" s="27" t="n">
        <f aca="false">H6+H7+H8</f>
        <v>2278167.963</v>
      </c>
      <c r="I9" s="27" t="n">
        <f aca="false">I6+I7+I8</f>
        <v>2574329.79819</v>
      </c>
      <c r="J9" s="27" t="n">
        <f aca="false">J6+J7+J8</f>
        <v>2896121.02296375</v>
      </c>
      <c r="K9" s="27" t="n">
        <f aca="false">K6+K7+K8</f>
        <v>3243655.5457194</v>
      </c>
    </row>
    <row r="10" customFormat="false" ht="15" hidden="false" customHeight="true" outlineLevel="0" collapsed="false">
      <c r="A10" s="28" t="s">
        <v>74</v>
      </c>
      <c r="B10" s="29" t="s">
        <v>75</v>
      </c>
      <c r="C10" s="30" t="n">
        <f aca="false">C9/B9-1</f>
        <v>0.169999638414041</v>
      </c>
      <c r="D10" s="30" t="n">
        <f aca="false">D9/C9-1</f>
        <v>0.169999990910355</v>
      </c>
      <c r="E10" s="30" t="n">
        <f aca="false">E9/D9-1</f>
        <v>0.170000442828853</v>
      </c>
      <c r="F10" s="30" t="n">
        <f aca="false">F9/E9-1</f>
        <v>0.153873173970783</v>
      </c>
      <c r="G10" s="30" t="n">
        <f aca="false">G9/F9-1</f>
        <v>0.15</v>
      </c>
      <c r="H10" s="30" t="n">
        <f aca="false">H9/G9-1</f>
        <v>0.14</v>
      </c>
      <c r="I10" s="30" t="n">
        <f aca="false">I9/H9-1</f>
        <v>0.13</v>
      </c>
      <c r="J10" s="30" t="n">
        <f aca="false">J9/I9-1</f>
        <v>0.125</v>
      </c>
      <c r="K10" s="30" t="n">
        <f aca="false">K9/J9-1</f>
        <v>0.12</v>
      </c>
    </row>
    <row r="11" customFormat="false" ht="15" hidden="false" customHeight="true" outlineLevel="0" collapsed="false">
      <c r="A11" s="28" t="s">
        <v>76</v>
      </c>
      <c r="B11" s="25" t="n">
        <f aca="false">B9*Assumptions!B14</f>
        <v>68642.046</v>
      </c>
      <c r="C11" s="25" t="n">
        <f aca="false">C9*Assumptions!C14</f>
        <v>83611.628</v>
      </c>
      <c r="D11" s="25" t="n">
        <f aca="false">D9*Assumptions!D14</f>
        <v>101687.141</v>
      </c>
      <c r="E11" s="25" t="n">
        <f aca="false">E9*Assumptions!E14</f>
        <v>120480</v>
      </c>
      <c r="F11" s="25" t="n">
        <f aca="false">F9*Assumptions!F14</f>
        <v>137280.907</v>
      </c>
      <c r="G11" s="25" t="n">
        <f aca="false">G9*Assumptions!G14</f>
        <v>158872.239525</v>
      </c>
      <c r="H11" s="25" t="n">
        <f aca="false">H9*Assumptions!H14</f>
        <v>182253.43704</v>
      </c>
      <c r="I11" s="25" t="n">
        <f aca="false">I9*Assumptions!I14</f>
        <v>207233.548754295</v>
      </c>
      <c r="J11" s="25" t="n">
        <f aca="false">J9*Assumptions!J14</f>
        <v>233137.742348582</v>
      </c>
      <c r="K11" s="25" t="n">
        <f aca="false">K9*Assumptions!K14</f>
        <v>261114.271430412</v>
      </c>
    </row>
    <row r="12" customFormat="false" ht="15" hidden="false" customHeight="true" outlineLevel="0" collapsed="false">
      <c r="A12" s="23" t="s">
        <v>77</v>
      </c>
      <c r="B12" s="23"/>
      <c r="C12" s="23"/>
      <c r="D12" s="23"/>
      <c r="E12" s="23"/>
      <c r="F12" s="23"/>
      <c r="G12" s="23"/>
      <c r="H12" s="23"/>
      <c r="I12" s="23"/>
      <c r="J12" s="23"/>
      <c r="K12" s="23"/>
    </row>
    <row r="13" customFormat="false" ht="15" hidden="false" customHeight="true" outlineLevel="0" collapsed="false">
      <c r="A13" s="24" t="s">
        <v>78</v>
      </c>
      <c r="B13" s="22" t="n">
        <v>230745</v>
      </c>
      <c r="C13" s="22" t="n">
        <v>258434</v>
      </c>
      <c r="D13" s="22" t="n">
        <v>289446</v>
      </c>
      <c r="E13" s="22" t="n">
        <v>324180</v>
      </c>
      <c r="F13" s="22" t="n">
        <v>387979</v>
      </c>
      <c r="G13" s="25" t="n">
        <f aca="false">F13*(1+Assumptions!G6)</f>
        <v>442296.06</v>
      </c>
      <c r="H13" s="25" t="n">
        <f aca="false">G13*(1+Assumptions!H6)</f>
        <v>499794.5478</v>
      </c>
      <c r="I13" s="25" t="n">
        <f aca="false">H13*(1+Assumptions!I6)</f>
        <v>559769.893536</v>
      </c>
      <c r="J13" s="25" t="n">
        <f aca="false">I13*(1+Assumptions!J6)</f>
        <v>621344.58182496</v>
      </c>
      <c r="K13" s="25" t="n">
        <f aca="false">J13*(1+Assumptions!K6)</f>
        <v>689692.485825706</v>
      </c>
    </row>
    <row r="14" customFormat="false" ht="15" hidden="false" customHeight="true" outlineLevel="0" collapsed="false">
      <c r="A14" s="28" t="s">
        <v>79</v>
      </c>
      <c r="B14" s="25" t="n">
        <f aca="false">B13*Assumptions!B14</f>
        <v>16844.385</v>
      </c>
      <c r="C14" s="25" t="n">
        <f aca="false">C13*Assumptions!C14</f>
        <v>19640.984</v>
      </c>
      <c r="D14" s="25" t="n">
        <f aca="false">D13*Assumptions!D14</f>
        <v>22866.234</v>
      </c>
      <c r="E14" s="25" t="n">
        <f aca="false">E13*Assumptions!E14</f>
        <v>25934.4</v>
      </c>
      <c r="F14" s="25" t="n">
        <f aca="false">F13*Assumptions!F14</f>
        <v>30650.341</v>
      </c>
      <c r="G14" s="25" t="n">
        <f aca="false">G13*Assumptions!G14</f>
        <v>35162.53677</v>
      </c>
      <c r="H14" s="25" t="n">
        <f aca="false">H13*Assumptions!H14</f>
        <v>39983.563824</v>
      </c>
      <c r="I14" s="25" t="n">
        <f aca="false">I13*Assumptions!I14</f>
        <v>45061.476429648</v>
      </c>
      <c r="J14" s="25" t="n">
        <f aca="false">J13*Assumptions!J14</f>
        <v>50018.2388369093</v>
      </c>
      <c r="K14" s="25" t="n">
        <f aca="false">K13*Assumptions!K14</f>
        <v>55520.2451089693</v>
      </c>
    </row>
    <row r="15" customFormat="false" ht="15" hidden="false" customHeight="true" outlineLevel="0" collapsed="false">
      <c r="A15" s="23" t="s">
        <v>80</v>
      </c>
      <c r="B15" s="23"/>
      <c r="C15" s="23"/>
      <c r="D15" s="23"/>
      <c r="E15" s="23"/>
      <c r="F15" s="23"/>
      <c r="G15" s="23"/>
      <c r="H15" s="23"/>
      <c r="I15" s="23"/>
      <c r="J15" s="23"/>
      <c r="K15" s="23"/>
    </row>
    <row r="16" customFormat="false" ht="15" hidden="false" customHeight="true" outlineLevel="0" collapsed="false">
      <c r="A16" s="24" t="s">
        <v>81</v>
      </c>
      <c r="B16" s="22" t="n">
        <v>299994</v>
      </c>
      <c r="C16" s="22" t="n">
        <v>347993</v>
      </c>
      <c r="D16" s="22" t="n">
        <v>403672</v>
      </c>
      <c r="E16" s="22" t="n">
        <v>468260</v>
      </c>
      <c r="F16" s="22" t="n">
        <v>566548</v>
      </c>
      <c r="G16" s="25" t="n">
        <f aca="false">F16*(1+Assumptions!G7)</f>
        <v>662861.16</v>
      </c>
      <c r="H16" s="25" t="n">
        <f aca="false">G16*(1+Assumptions!H7)</f>
        <v>768918.9456</v>
      </c>
      <c r="I16" s="25" t="n">
        <f aca="false">H16*(1+Assumptions!I7)</f>
        <v>884256.78744</v>
      </c>
      <c r="J16" s="25" t="n">
        <f aca="false">I16*(1+Assumptions!J7)</f>
        <v>1008052.7376816</v>
      </c>
      <c r="K16" s="25" t="n">
        <f aca="false">J16*(1+Assumptions!K7)</f>
        <v>1139099.59358021</v>
      </c>
    </row>
    <row r="17" customFormat="false" ht="15" hidden="false" customHeight="true" outlineLevel="0" collapsed="false">
      <c r="A17" s="28" t="s">
        <v>82</v>
      </c>
      <c r="B17" s="25" t="n">
        <f aca="false">B16*Assumptions!B14</f>
        <v>21899.562</v>
      </c>
      <c r="C17" s="25" t="n">
        <f aca="false">C16*Assumptions!C14</f>
        <v>26447.468</v>
      </c>
      <c r="D17" s="25" t="n">
        <f aca="false">D16*Assumptions!D14</f>
        <v>31890.088</v>
      </c>
      <c r="E17" s="25" t="n">
        <f aca="false">E16*Assumptions!E14</f>
        <v>37460.8</v>
      </c>
      <c r="F17" s="25" t="n">
        <f aca="false">F16*Assumptions!F14</f>
        <v>44757.292</v>
      </c>
      <c r="G17" s="25" t="n">
        <f aca="false">G16*Assumptions!G14</f>
        <v>52697.46222</v>
      </c>
      <c r="H17" s="25" t="n">
        <f aca="false">H16*Assumptions!H14</f>
        <v>61513.515648</v>
      </c>
      <c r="I17" s="25" t="n">
        <f aca="false">I16*Assumptions!I14</f>
        <v>71182.67138892</v>
      </c>
      <c r="J17" s="25" t="n">
        <f aca="false">J16*Assumptions!J14</f>
        <v>81148.2453833688</v>
      </c>
      <c r="K17" s="25" t="n">
        <f aca="false">K16*Assumptions!K14</f>
        <v>91697.5172832067</v>
      </c>
    </row>
    <row r="18" customFormat="false" ht="15" hidden="false" customHeight="true" outlineLevel="0" collapsed="false">
      <c r="A18" s="23" t="s">
        <v>83</v>
      </c>
      <c r="B18" s="23"/>
      <c r="C18" s="23"/>
      <c r="D18" s="23"/>
      <c r="E18" s="23"/>
      <c r="F18" s="23"/>
      <c r="G18" s="23"/>
      <c r="H18" s="23"/>
      <c r="I18" s="23"/>
      <c r="J18" s="23"/>
      <c r="K18" s="23"/>
    </row>
    <row r="19" customFormat="false" ht="15" hidden="false" customHeight="true" outlineLevel="0" collapsed="false">
      <c r="A19" s="24" t="s">
        <v>84</v>
      </c>
      <c r="B19" s="22" t="n">
        <v>1031911</v>
      </c>
      <c r="C19" s="22" t="n">
        <v>1169172</v>
      </c>
      <c r="D19" s="22" t="n">
        <v>1312018</v>
      </c>
      <c r="E19" s="22" t="n">
        <v>1303560</v>
      </c>
      <c r="F19" s="22" t="n">
        <v>1496878</v>
      </c>
      <c r="G19" s="25" t="n">
        <f aca="false">F19*(1+Assumptions!G8)</f>
        <v>1676503.36</v>
      </c>
      <c r="H19" s="25" t="n">
        <f aca="false">G19*(1+Assumptions!H8)</f>
        <v>1877683.7632</v>
      </c>
      <c r="I19" s="25" t="n">
        <f aca="false">H19*(1+Assumptions!I8)</f>
        <v>2112394.2336</v>
      </c>
      <c r="J19" s="25" t="n">
        <f aca="false">I19*(1+Assumptions!J8)</f>
        <v>2387005.483968</v>
      </c>
      <c r="K19" s="25" t="n">
        <f aca="false">J19*(1+Assumptions!K8)</f>
        <v>2697316.19688384</v>
      </c>
    </row>
    <row r="20" customFormat="false" ht="15" hidden="false" customHeight="true" outlineLevel="0" collapsed="false">
      <c r="A20" s="28" t="s">
        <v>85</v>
      </c>
      <c r="B20" s="25" t="n">
        <f aca="false">B19*Assumptions!B14</f>
        <v>75329.503</v>
      </c>
      <c r="C20" s="25" t="n">
        <f aca="false">C19*Assumptions!C14</f>
        <v>88857.072</v>
      </c>
      <c r="D20" s="25" t="n">
        <f aca="false">D19*Assumptions!D14</f>
        <v>103649.422</v>
      </c>
      <c r="E20" s="25" t="n">
        <f aca="false">E19*Assumptions!E14</f>
        <v>104284.8</v>
      </c>
      <c r="F20" s="25" t="n">
        <f aca="false">F19*Assumptions!F14</f>
        <v>118253.362</v>
      </c>
      <c r="G20" s="25" t="n">
        <f aca="false">G19*Assumptions!G14</f>
        <v>133282.01712</v>
      </c>
      <c r="H20" s="25" t="n">
        <f aca="false">H19*Assumptions!H14</f>
        <v>150214.701056</v>
      </c>
      <c r="I20" s="25" t="n">
        <f aca="false">I19*Assumptions!I14</f>
        <v>170047.7358048</v>
      </c>
      <c r="J20" s="25" t="n">
        <f aca="false">J19*Assumptions!J14</f>
        <v>192153.941459424</v>
      </c>
      <c r="K20" s="25" t="n">
        <f aca="false">K19*Assumptions!K14</f>
        <v>217133.953849149</v>
      </c>
    </row>
    <row r="21" customFormat="false" ht="15" hidden="false" customHeight="true" outlineLevel="0" collapsed="false">
      <c r="A21" s="26" t="s">
        <v>86</v>
      </c>
      <c r="B21" s="27" t="n">
        <f aca="false">B9+B13+B16+B19</f>
        <v>2502952</v>
      </c>
      <c r="C21" s="27" t="n">
        <f aca="false">C9+C13+C16+C19</f>
        <v>2875752</v>
      </c>
      <c r="D21" s="27" t="n">
        <f aca="false">D9+D13+D16+D19</f>
        <v>3292315</v>
      </c>
      <c r="E21" s="27" t="n">
        <f aca="false">E9+E13+E16+E19</f>
        <v>3602000</v>
      </c>
      <c r="F21" s="27" t="n">
        <f aca="false">F9+F13+F16+F19</f>
        <v>4189138</v>
      </c>
      <c r="G21" s="27" t="n">
        <f aca="false">G9+G13+G16+G19</f>
        <v>4780053.53</v>
      </c>
      <c r="H21" s="27" t="n">
        <f aca="false">H9+H13+H16+H19</f>
        <v>5424565.2196</v>
      </c>
      <c r="I21" s="27" t="n">
        <f aca="false">I9+I13+I16+I19</f>
        <v>6130750.712766</v>
      </c>
      <c r="J21" s="27" t="n">
        <f aca="false">J9+J13+J16+J19</f>
        <v>6912523.82643831</v>
      </c>
      <c r="K21" s="27" t="n">
        <f aca="false">K9+K13+K16+K19</f>
        <v>7769763.82200915</v>
      </c>
    </row>
    <row r="22" customFormat="false" ht="15" hidden="false" customHeight="true" outlineLevel="0" collapsed="false">
      <c r="A22" s="28" t="s">
        <v>87</v>
      </c>
      <c r="B22" s="29" t="s">
        <v>75</v>
      </c>
      <c r="C22" s="30" t="n">
        <f aca="false">C21/B21-1</f>
        <v>0.148944126775104</v>
      </c>
      <c r="D22" s="30" t="n">
        <f aca="false">D21/C21-1</f>
        <v>0.144853589600216</v>
      </c>
      <c r="E22" s="30" t="n">
        <f aca="false">E21/D21-1</f>
        <v>0.0940629921499006</v>
      </c>
      <c r="F22" s="30" t="n">
        <f aca="false">F21/E21-1</f>
        <v>0.16300333148251</v>
      </c>
      <c r="G22" s="30" t="n">
        <f aca="false">G21/F21-1</f>
        <v>0.141058979198107</v>
      </c>
      <c r="H22" s="30" t="n">
        <f aca="false">H21/G21-1</f>
        <v>0.134833571539522</v>
      </c>
      <c r="I22" s="30" t="n">
        <f aca="false">I21/H21-1</f>
        <v>0.130182874493686</v>
      </c>
      <c r="J22" s="30" t="n">
        <f aca="false">J21/I21-1</f>
        <v>0.127516702325611</v>
      </c>
      <c r="K22" s="30" t="n">
        <f aca="false">K21/J21-1</f>
        <v>0.12401259179638</v>
      </c>
    </row>
    <row r="23" customFormat="false" ht="15" hidden="false" customHeight="true" outlineLevel="0" collapsed="false">
      <c r="A23" s="26" t="s">
        <v>88</v>
      </c>
      <c r="B23" s="27" t="n">
        <f aca="false">B11+B14+B17+B20</f>
        <v>182715.496</v>
      </c>
      <c r="C23" s="27" t="n">
        <f aca="false">C11+C14+C17+C20</f>
        <v>218557.152</v>
      </c>
      <c r="D23" s="27" t="n">
        <f aca="false">D11+D14+D17+D20</f>
        <v>260092.885</v>
      </c>
      <c r="E23" s="27" t="n">
        <f aca="false">E11+E14+E17+E20</f>
        <v>288160</v>
      </c>
      <c r="F23" s="27" t="n">
        <f aca="false">F11+F14+F17+F20</f>
        <v>330941.902</v>
      </c>
      <c r="G23" s="27" t="n">
        <f aca="false">G11+G14+G17+G20</f>
        <v>380014.255635</v>
      </c>
      <c r="H23" s="27" t="n">
        <f aca="false">H11+H14+H17+H20</f>
        <v>433965.217568</v>
      </c>
      <c r="I23" s="27" t="n">
        <f aca="false">I11+I14+I17+I20</f>
        <v>493525.432377663</v>
      </c>
      <c r="J23" s="27" t="n">
        <f aca="false">J11+J14+J17+J20</f>
        <v>556458.168028284</v>
      </c>
      <c r="K23" s="27" t="n">
        <f aca="false">K11+K14+K17+K20</f>
        <v>625465.987671737</v>
      </c>
    </row>
    <row r="25" customFormat="false" ht="16.5" hidden="false" customHeight="true" outlineLevel="0" collapsed="false">
      <c r="A25" s="18" t="s">
        <v>89</v>
      </c>
      <c r="B25" s="18"/>
      <c r="C25" s="18"/>
      <c r="D25" s="18"/>
      <c r="E25" s="18"/>
      <c r="F25" s="18"/>
      <c r="G25" s="18"/>
      <c r="H25" s="18"/>
      <c r="I25" s="18"/>
      <c r="J25" s="18"/>
      <c r="K25" s="18"/>
    </row>
    <row r="26" customFormat="false" ht="15" hidden="false" customHeight="true" outlineLevel="0" collapsed="false">
      <c r="A26" s="24" t="s">
        <v>90</v>
      </c>
      <c r="B26" s="22" t="n">
        <v>309354</v>
      </c>
      <c r="C26" s="22" t="n">
        <v>392148</v>
      </c>
      <c r="D26" s="22" t="n">
        <v>491955</v>
      </c>
      <c r="E26" s="22" t="n">
        <v>619000</v>
      </c>
      <c r="F26" s="22" t="n">
        <v>742862</v>
      </c>
      <c r="G26" s="25" t="n">
        <f aca="false">F26*(1+Assumptions!G9)</f>
        <v>861719.92</v>
      </c>
      <c r="H26" s="25" t="n">
        <f aca="false">G26*(1+Assumptions!H9)</f>
        <v>990977.908</v>
      </c>
      <c r="I26" s="25" t="n">
        <f aca="false">H26*(1+Assumptions!I9)</f>
        <v>1129714.81512</v>
      </c>
      <c r="J26" s="25" t="n">
        <f aca="false">I26*(1+Assumptions!J9)</f>
        <v>1276577.7410856</v>
      </c>
      <c r="K26" s="25" t="n">
        <f aca="false">J26*(1+Assumptions!K9)</f>
        <v>1429767.07001587</v>
      </c>
    </row>
    <row r="27" customFormat="false" ht="15" hidden="false" customHeight="true" outlineLevel="0" collapsed="false">
      <c r="A27" s="28" t="s">
        <v>91</v>
      </c>
      <c r="B27" s="25" t="n">
        <f aca="false">B26*Assumptions!B15</f>
        <v>14848.992</v>
      </c>
      <c r="C27" s="25" t="n">
        <f aca="false">C26*Assumptions!C15</f>
        <v>19999.548</v>
      </c>
      <c r="D27" s="25" t="n">
        <f aca="false">D26*Assumptions!D15</f>
        <v>26073.615</v>
      </c>
      <c r="E27" s="25" t="n">
        <f aca="false">E26*Assumptions!E15</f>
        <v>33426</v>
      </c>
      <c r="F27" s="25" t="n">
        <f aca="false">F26*Assumptions!F15</f>
        <v>40485.979</v>
      </c>
      <c r="G27" s="25" t="n">
        <f aca="false">G26*Assumptions!G15</f>
        <v>46963.73564</v>
      </c>
      <c r="H27" s="25" t="n">
        <f aca="false">H26*Assumptions!H15</f>
        <v>54008.295986</v>
      </c>
      <c r="I27" s="25" t="n">
        <f aca="false">I26*Assumptions!I15</f>
        <v>61569.45742404</v>
      </c>
      <c r="J27" s="25" t="n">
        <f aca="false">J26*Assumptions!J15</f>
        <v>69573.4868891652</v>
      </c>
      <c r="K27" s="25" t="n">
        <f aca="false">K26*Assumptions!K15</f>
        <v>77922.305315865</v>
      </c>
    </row>
    <row r="28" customFormat="false" ht="15" hidden="false" customHeight="true" outlineLevel="0" collapsed="false">
      <c r="A28" s="26" t="s">
        <v>92</v>
      </c>
      <c r="B28" s="27" t="n">
        <f aca="false">B21+B26</f>
        <v>2812306</v>
      </c>
      <c r="C28" s="27" t="n">
        <f aca="false">C21+C26</f>
        <v>3267900</v>
      </c>
      <c r="D28" s="27" t="n">
        <f aca="false">D21+D26</f>
        <v>3784270</v>
      </c>
      <c r="E28" s="27" t="n">
        <f aca="false">E21+E26</f>
        <v>4221000</v>
      </c>
      <c r="F28" s="27" t="n">
        <f aca="false">F21+F26</f>
        <v>4932000</v>
      </c>
      <c r="G28" s="27" t="n">
        <f aca="false">G21+G26</f>
        <v>5641773.45</v>
      </c>
      <c r="H28" s="27" t="n">
        <f aca="false">H21+H26</f>
        <v>6415543.1276</v>
      </c>
      <c r="I28" s="27" t="n">
        <f aca="false">I21+I26</f>
        <v>7260465.527886</v>
      </c>
      <c r="J28" s="27" t="n">
        <f aca="false">J21+J26</f>
        <v>8189101.56752391</v>
      </c>
      <c r="K28" s="27" t="n">
        <f aca="false">K21+K26</f>
        <v>9199530.89202503</v>
      </c>
    </row>
    <row r="29" customFormat="false" ht="15" hidden="false" customHeight="true" outlineLevel="0" collapsed="false">
      <c r="A29" s="28" t="s">
        <v>93</v>
      </c>
      <c r="B29" s="29" t="s">
        <v>75</v>
      </c>
      <c r="C29" s="30" t="n">
        <f aca="false">C28/B28-1</f>
        <v>0.162000152188275</v>
      </c>
      <c r="D29" s="30" t="n">
        <f aca="false">D28/C28-1</f>
        <v>0.158012791089079</v>
      </c>
      <c r="E29" s="30" t="n">
        <f aca="false">E28/D28-1</f>
        <v>0.115406670242874</v>
      </c>
      <c r="F29" s="30" t="n">
        <f aca="false">F28/E28-1</f>
        <v>0.168443496801706</v>
      </c>
      <c r="G29" s="30" t="n">
        <f aca="false">G28/F28-1</f>
        <v>0.143911891727494</v>
      </c>
      <c r="H29" s="30" t="n">
        <f aca="false">H28/G28-1</f>
        <v>0.13715007957294</v>
      </c>
      <c r="I29" s="30" t="n">
        <f aca="false">I28/H28-1</f>
        <v>0.131699278374593</v>
      </c>
      <c r="J29" s="30" t="n">
        <f aca="false">J28/I28-1</f>
        <v>0.127903098784948</v>
      </c>
      <c r="K29" s="30" t="n">
        <f aca="false">K28/J28-1</f>
        <v>0.12338707929918</v>
      </c>
    </row>
    <row r="30" customFormat="false" ht="15" hidden="false" customHeight="true" outlineLevel="0" collapsed="false">
      <c r="A30" s="28" t="s">
        <v>94</v>
      </c>
      <c r="B30" s="31" t="n">
        <f aca="false">(B23+B27)/B28</f>
        <v>0.0702499969775693</v>
      </c>
      <c r="C30" s="31" t="n">
        <f aca="false">(C23+C27)/C28</f>
        <v>0.073</v>
      </c>
      <c r="D30" s="31" t="n">
        <f aca="false">(D23+D27)/D28</f>
        <v>0.0756200006870546</v>
      </c>
      <c r="E30" s="31" t="n">
        <f aca="false">(E23+E27)/E28</f>
        <v>0.0761871594408908</v>
      </c>
      <c r="F30" s="31" t="n">
        <f aca="false">(F23+F27)/F28</f>
        <v>0.0753097893349554</v>
      </c>
      <c r="G30" s="31" t="n">
        <f aca="false">(G23+G27)/G28</f>
        <v>0.075681520192024</v>
      </c>
      <c r="H30" s="31" t="n">
        <f aca="false">(H23+H27)/H28</f>
        <v>0.0760611383710777</v>
      </c>
      <c r="I30" s="31" t="n">
        <f aca="false">(I23+I27)/I28</f>
        <v>0.0764544487773813</v>
      </c>
      <c r="J30" s="31" t="n">
        <f aca="false">(J23+J27)/J28</f>
        <v>0.0764469276336914</v>
      </c>
      <c r="K30" s="31" t="n">
        <f aca="false">(K23+K27)/K28</f>
        <v>0.0764591478895257</v>
      </c>
    </row>
    <row r="31" customFormat="false" ht="15" hidden="false" customHeight="true" outlineLevel="0" collapsed="false">
      <c r="A31" s="26" t="s">
        <v>95</v>
      </c>
      <c r="B31" s="27" t="n">
        <f aca="false">B23+B27</f>
        <v>197564.488</v>
      </c>
      <c r="C31" s="27" t="n">
        <f aca="false">C23+C27</f>
        <v>238556.7</v>
      </c>
      <c r="D31" s="27" t="n">
        <f aca="false">D23+D27</f>
        <v>286166.5</v>
      </c>
      <c r="E31" s="27" t="n">
        <f aca="false">E23+E27</f>
        <v>321586</v>
      </c>
      <c r="F31" s="27" t="n">
        <f aca="false">F23+F27</f>
        <v>371427.881</v>
      </c>
      <c r="G31" s="27" t="n">
        <f aca="false">G23+G27</f>
        <v>426977.991275</v>
      </c>
      <c r="H31" s="27" t="n">
        <f aca="false">H23+H27</f>
        <v>487973.513554</v>
      </c>
      <c r="I31" s="27" t="n">
        <f aca="false">I23+I27</f>
        <v>555094.889801703</v>
      </c>
      <c r="J31" s="27" t="n">
        <f aca="false">J23+J27</f>
        <v>626031.654917449</v>
      </c>
      <c r="K31" s="27" t="n">
        <f aca="false">K23+K27</f>
        <v>703388.292987602</v>
      </c>
    </row>
    <row r="33" customFormat="false" ht="16.5" hidden="false" customHeight="true" outlineLevel="0" collapsed="false">
      <c r="A33" s="18" t="s">
        <v>96</v>
      </c>
      <c r="B33" s="18"/>
      <c r="C33" s="18"/>
      <c r="D33" s="18"/>
      <c r="E33" s="18"/>
      <c r="F33" s="18"/>
      <c r="G33" s="18"/>
      <c r="H33" s="18"/>
      <c r="I33" s="18"/>
      <c r="J33" s="18"/>
      <c r="K33" s="18"/>
    </row>
    <row r="34" customFormat="false" ht="15" hidden="false" customHeight="true" outlineLevel="0" collapsed="false">
      <c r="A34" s="24" t="s">
        <v>97</v>
      </c>
      <c r="B34" s="22" t="n">
        <v>1620000</v>
      </c>
      <c r="C34" s="22" t="n">
        <v>1913110</v>
      </c>
      <c r="D34" s="22" t="n">
        <v>2110550</v>
      </c>
      <c r="E34" s="22" t="n">
        <v>2205600</v>
      </c>
      <c r="F34" s="22" t="n">
        <v>2340000</v>
      </c>
      <c r="G34" s="25" t="n">
        <f aca="false">F34*(1+Assumptions!G10*0.85)</f>
        <v>2578680</v>
      </c>
      <c r="H34" s="25" t="n">
        <f aca="false">G34*(1+Assumptions!H10*0.85)</f>
        <v>2830745.97</v>
      </c>
      <c r="I34" s="25" t="n">
        <f aca="false">H34*(1+Assumptions!I10*0.85)</f>
        <v>3107451.3885675</v>
      </c>
      <c r="J34" s="25" t="n">
        <f aca="false">I34*(1+Assumptions!J10*0.85)</f>
        <v>3397998.09339856</v>
      </c>
      <c r="K34" s="25" t="n">
        <f aca="false">J34*(1+Assumptions!K10*0.85)</f>
        <v>3715710.91513133</v>
      </c>
    </row>
    <row r="35" customFormat="false" ht="15" hidden="false" customHeight="true" outlineLevel="0" collapsed="false">
      <c r="A35" s="28" t="s">
        <v>98</v>
      </c>
      <c r="B35" s="25" t="n">
        <f aca="false">B34*Assumptions!B16</f>
        <v>95580</v>
      </c>
      <c r="C35" s="25" t="n">
        <f aca="false">C34*Assumptions!C16</f>
        <v>112299.557</v>
      </c>
      <c r="D35" s="25" t="n">
        <f aca="false">D34*Assumptions!D16</f>
        <v>118401.855</v>
      </c>
      <c r="E35" s="25" t="n">
        <f aca="false">E34*Assumptions!E16</f>
        <v>126822</v>
      </c>
      <c r="F35" s="25" t="n">
        <f aca="false">F34*Assumptions!F16</f>
        <v>122850</v>
      </c>
      <c r="G35" s="25" t="n">
        <f aca="false">G34*Assumptions!G16</f>
        <v>144406.08</v>
      </c>
      <c r="H35" s="25" t="n">
        <f aca="false">H34*Assumptions!H16</f>
        <v>162767.893275</v>
      </c>
      <c r="I35" s="25" t="n">
        <f aca="false">I34*Assumptions!I16</f>
        <v>183339.631925483</v>
      </c>
      <c r="J35" s="25" t="n">
        <f aca="false">J34*Assumptions!J16</f>
        <v>203879.885603914</v>
      </c>
      <c r="K35" s="25" t="n">
        <f aca="false">K34*Assumptions!K16</f>
        <v>224800.510365445</v>
      </c>
    </row>
    <row r="36" customFormat="false" ht="15" hidden="false" customHeight="true" outlineLevel="0" collapsed="false">
      <c r="A36" s="24" t="s">
        <v>99</v>
      </c>
      <c r="B36" s="22" t="n">
        <v>4200</v>
      </c>
      <c r="C36" s="22" t="n">
        <v>4500</v>
      </c>
      <c r="D36" s="22" t="n">
        <v>4900</v>
      </c>
      <c r="E36" s="22" t="n">
        <v>5300</v>
      </c>
      <c r="F36" s="22" t="n">
        <v>6100</v>
      </c>
      <c r="G36" s="32" t="n">
        <f aca="false">F36*1.08</f>
        <v>6588</v>
      </c>
      <c r="H36" s="32" t="n">
        <f aca="false">G36*1.08</f>
        <v>7115.04</v>
      </c>
      <c r="I36" s="32" t="n">
        <f aca="false">H36*1.08</f>
        <v>7684.2432</v>
      </c>
      <c r="J36" s="32" t="n">
        <f aca="false">I36*1.08</f>
        <v>8298.982656</v>
      </c>
      <c r="K36" s="32" t="n">
        <f aca="false">J36*1.08</f>
        <v>8962.90126848</v>
      </c>
    </row>
    <row r="37" customFormat="false" ht="15" hidden="false" customHeight="true" outlineLevel="0" collapsed="false">
      <c r="A37" s="26" t="s">
        <v>100</v>
      </c>
      <c r="B37" s="27" t="n">
        <f aca="false">B31+B35+B36</f>
        <v>297344.488</v>
      </c>
      <c r="C37" s="27" t="n">
        <f aca="false">C31+C35+C36</f>
        <v>355356.257</v>
      </c>
      <c r="D37" s="27" t="n">
        <f aca="false">D31+D35+D36</f>
        <v>409468.355</v>
      </c>
      <c r="E37" s="27" t="n">
        <f aca="false">E31+E35+E36</f>
        <v>453708</v>
      </c>
      <c r="F37" s="27" t="n">
        <f aca="false">F31+F35+F36</f>
        <v>500377.881</v>
      </c>
      <c r="G37" s="27" t="n">
        <f aca="false">G31+G35+G36</f>
        <v>577972.071275</v>
      </c>
      <c r="H37" s="27" t="n">
        <f aca="false">H31+H35+H36</f>
        <v>657856.446829</v>
      </c>
      <c r="I37" s="27" t="n">
        <f aca="false">I31+I35+I36</f>
        <v>746118.764927186</v>
      </c>
      <c r="J37" s="27" t="n">
        <f aca="false">J31+J35+J36</f>
        <v>838210.523177363</v>
      </c>
      <c r="K37" s="27" t="n">
        <f aca="false">K31+K35+K36</f>
        <v>937151.704621527</v>
      </c>
    </row>
    <row r="39" customFormat="false" ht="16.5" hidden="false" customHeight="true" outlineLevel="0" collapsed="false">
      <c r="A39" s="18" t="s">
        <v>101</v>
      </c>
      <c r="B39" s="18"/>
      <c r="C39" s="18"/>
      <c r="D39" s="18"/>
      <c r="E39" s="18"/>
      <c r="F39" s="18"/>
      <c r="G39" s="18"/>
      <c r="H39" s="18"/>
      <c r="I39" s="18"/>
      <c r="J39" s="18"/>
      <c r="K39" s="18"/>
    </row>
    <row r="40" customFormat="false" ht="15" hidden="false" customHeight="true" outlineLevel="0" collapsed="false">
      <c r="A40" s="24" t="s">
        <v>102</v>
      </c>
      <c r="B40" s="22" t="n">
        <v>4051534</v>
      </c>
      <c r="C40" s="22" t="n">
        <v>4468540</v>
      </c>
      <c r="D40" s="22" t="n">
        <v>4966540</v>
      </c>
      <c r="E40" s="22" t="n">
        <v>5382000</v>
      </c>
      <c r="F40" s="22" t="n">
        <v>5975000</v>
      </c>
      <c r="G40" s="25" t="n">
        <f aca="false">F40*(1+Assumptions!G10)</f>
        <v>6692000</v>
      </c>
      <c r="H40" s="25" t="n">
        <f aca="false">G40*(1+Assumptions!H10)</f>
        <v>7461580</v>
      </c>
      <c r="I40" s="25" t="n">
        <f aca="false">H40*(1+Assumptions!I10)</f>
        <v>8319661.7</v>
      </c>
      <c r="J40" s="25" t="n">
        <f aca="false">I40*(1+Assumptions!J10)</f>
        <v>9234824.487</v>
      </c>
      <c r="K40" s="25" t="n">
        <f aca="false">J40*(1+Assumptions!K10)</f>
        <v>10250655.18057</v>
      </c>
    </row>
    <row r="41" customFormat="false" ht="15" hidden="false" customHeight="true" outlineLevel="0" collapsed="false">
      <c r="A41" s="28" t="s">
        <v>103</v>
      </c>
      <c r="B41" s="29" t="s">
        <v>75</v>
      </c>
      <c r="C41" s="30" t="n">
        <f aca="false">C40/B40-1</f>
        <v>0.102925459838175</v>
      </c>
      <c r="D41" s="30" t="n">
        <f aca="false">D40/C40-1</f>
        <v>0.111445796613659</v>
      </c>
      <c r="E41" s="30" t="n">
        <f aca="false">E40/D40-1</f>
        <v>0.0836517978310856</v>
      </c>
      <c r="F41" s="30" t="n">
        <f aca="false">F40/E40-1</f>
        <v>0.110182088442958</v>
      </c>
      <c r="G41" s="30" t="n">
        <f aca="false">G40/F40-1</f>
        <v>0.12</v>
      </c>
      <c r="H41" s="30" t="n">
        <f aca="false">H40/G40-1</f>
        <v>0.115</v>
      </c>
      <c r="I41" s="30" t="n">
        <f aca="false">I40/H40-1</f>
        <v>0.115</v>
      </c>
      <c r="J41" s="30" t="n">
        <f aca="false">J40/I40-1</f>
        <v>0.11</v>
      </c>
      <c r="K41" s="30" t="n">
        <f aca="false">K40/J40-1</f>
        <v>0.11</v>
      </c>
    </row>
    <row r="42" customFormat="false" ht="15" hidden="false" customHeight="true" outlineLevel="0" collapsed="false">
      <c r="A42" s="24" t="s">
        <v>104</v>
      </c>
      <c r="B42" s="22" t="n">
        <v>1836560</v>
      </c>
      <c r="C42" s="22" t="n">
        <v>1903598</v>
      </c>
      <c r="D42" s="22" t="n">
        <v>2026348</v>
      </c>
      <c r="E42" s="22" t="n">
        <v>2151185</v>
      </c>
      <c r="F42" s="22" t="n">
        <v>2357735</v>
      </c>
      <c r="G42" s="25" t="n">
        <f aca="false">G40*Assumptions!G11</f>
        <v>2609880</v>
      </c>
      <c r="H42" s="25" t="n">
        <f aca="false">H40*Assumptions!H11</f>
        <v>2887631.46</v>
      </c>
      <c r="I42" s="25" t="n">
        <f aca="false">I40*Assumptions!I11</f>
        <v>3203069.7545</v>
      </c>
      <c r="J42" s="25" t="n">
        <f aca="false">J40*Assumptions!J11</f>
        <v>3555407.427495</v>
      </c>
      <c r="K42" s="25" t="n">
        <f aca="false">K40*Assumptions!K11</f>
        <v>3946502.24451945</v>
      </c>
    </row>
    <row r="43" customFormat="false" ht="15" hidden="false" customHeight="true" outlineLevel="0" collapsed="false">
      <c r="A43" s="24" t="s">
        <v>105</v>
      </c>
      <c r="B43" s="22" t="n">
        <v>2214974</v>
      </c>
      <c r="C43" s="22" t="n">
        <v>2564942</v>
      </c>
      <c r="D43" s="22" t="n">
        <v>2940192</v>
      </c>
      <c r="E43" s="22" t="n">
        <v>3230815</v>
      </c>
      <c r="F43" s="22" t="n">
        <v>3617265</v>
      </c>
      <c r="G43" s="32" t="n">
        <f aca="false">G40-G42</f>
        <v>4082120</v>
      </c>
      <c r="H43" s="32" t="n">
        <f aca="false">H40-H42</f>
        <v>4573948.54</v>
      </c>
      <c r="I43" s="32" t="n">
        <f aca="false">I40-I42</f>
        <v>5116591.9455</v>
      </c>
      <c r="J43" s="32" t="n">
        <f aca="false">J40-J42</f>
        <v>5679417.059505</v>
      </c>
      <c r="K43" s="32" t="n">
        <f aca="false">K40-K42</f>
        <v>6304152.93605055</v>
      </c>
    </row>
    <row r="44" customFormat="false" ht="15" hidden="false" customHeight="true" outlineLevel="0" collapsed="false">
      <c r="A44" s="28" t="s">
        <v>106</v>
      </c>
      <c r="B44" s="30" t="n">
        <f aca="false">B42/B40</f>
        <v>0.453299910601762</v>
      </c>
      <c r="C44" s="30" t="n">
        <f aca="false">C42/C40</f>
        <v>0.42599999104853</v>
      </c>
      <c r="D44" s="30" t="n">
        <f aca="false">D42/D40</f>
        <v>0.407999935568827</v>
      </c>
      <c r="E44" s="30" t="n">
        <f aca="false">E42/E40</f>
        <v>0.399699925678187</v>
      </c>
      <c r="F44" s="30" t="n">
        <f aca="false">F42/F40</f>
        <v>0.3946</v>
      </c>
      <c r="G44" s="30" t="n">
        <f aca="false">G42/G40</f>
        <v>0.39</v>
      </c>
      <c r="H44" s="30" t="n">
        <f aca="false">H42/H40</f>
        <v>0.387</v>
      </c>
      <c r="I44" s="30" t="n">
        <f aca="false">I42/I40</f>
        <v>0.385</v>
      </c>
      <c r="J44" s="30" t="n">
        <f aca="false">J42/J40</f>
        <v>0.385</v>
      </c>
      <c r="K44" s="30" t="n">
        <f aca="false">K42/K40</f>
        <v>0.385</v>
      </c>
    </row>
    <row r="45" customFormat="false" ht="15" hidden="false" customHeight="true" outlineLevel="0" collapsed="false">
      <c r="A45" s="28" t="s">
        <v>107</v>
      </c>
      <c r="B45" s="25" t="n">
        <f aca="false">B42*Assumptions!B17</f>
        <v>42240.88</v>
      </c>
      <c r="C45" s="25" t="n">
        <f aca="false">C42*Assumptions!C17</f>
        <v>46638.151</v>
      </c>
      <c r="D45" s="25" t="n">
        <f aca="false">D42*Assumptions!D17</f>
        <v>52685.048</v>
      </c>
      <c r="E45" s="25" t="n">
        <f aca="false">E42*Assumptions!E17</f>
        <v>58081.995</v>
      </c>
      <c r="F45" s="25" t="n">
        <f aca="false">F42*Assumptions!F17</f>
        <v>63658.845</v>
      </c>
      <c r="G45" s="25" t="n">
        <f aca="false">G42*Assumptions!G17</f>
        <v>70466.76</v>
      </c>
      <c r="H45" s="25" t="n">
        <f aca="false">H42*Assumptions!H17</f>
        <v>77966.04942</v>
      </c>
      <c r="I45" s="25" t="n">
        <f aca="false">I42*Assumptions!I17</f>
        <v>84881.34849425</v>
      </c>
      <c r="J45" s="25" t="n">
        <f aca="false">J42*Assumptions!J17</f>
        <v>94218.2968286175</v>
      </c>
      <c r="K45" s="25" t="n">
        <f aca="false">K42*Assumptions!K17</f>
        <v>104582.309479765</v>
      </c>
    </row>
    <row r="46" customFormat="false" ht="15" hidden="false" customHeight="true" outlineLevel="0" collapsed="false">
      <c r="A46" s="28" t="s">
        <v>108</v>
      </c>
      <c r="B46" s="25" t="n">
        <f aca="false">B43*Assumptions!B18</f>
        <v>121823.57</v>
      </c>
      <c r="C46" s="25" t="n">
        <f aca="false">C43*Assumptions!C18</f>
        <v>148766.636</v>
      </c>
      <c r="D46" s="25" t="n">
        <f aca="false">D43*Assumptions!D18</f>
        <v>177881.616</v>
      </c>
      <c r="E46" s="25" t="n">
        <f aca="false">E43*Assumptions!E18</f>
        <v>206772.16</v>
      </c>
      <c r="F46" s="25" t="n">
        <f aca="false">F43*Assumptions!F18</f>
        <v>236930.8575</v>
      </c>
      <c r="G46" s="25" t="n">
        <f aca="false">G43*Assumptions!G18</f>
        <v>269419.92</v>
      </c>
      <c r="H46" s="25" t="n">
        <f aca="false">H43*Assumptions!H18</f>
        <v>297306.6551</v>
      </c>
      <c r="I46" s="25" t="n">
        <f aca="false">I43*Assumptions!I18</f>
        <v>327461.884512</v>
      </c>
      <c r="J46" s="25" t="n">
        <f aca="false">J43*Assumptions!J18</f>
        <v>363482.69180832</v>
      </c>
      <c r="K46" s="25" t="n">
        <f aca="false">K43*Assumptions!K18</f>
        <v>403465.787907235</v>
      </c>
    </row>
    <row r="47" customFormat="false" ht="15" hidden="false" customHeight="true" outlineLevel="0" collapsed="false">
      <c r="A47" s="26" t="s">
        <v>109</v>
      </c>
      <c r="B47" s="27" t="n">
        <f aca="false">B45+B46</f>
        <v>164064.45</v>
      </c>
      <c r="C47" s="27" t="n">
        <f aca="false">C45+C46</f>
        <v>195404.787</v>
      </c>
      <c r="D47" s="27" t="n">
        <f aca="false">D45+D46</f>
        <v>230566.664</v>
      </c>
      <c r="E47" s="27" t="n">
        <f aca="false">E45+E46</f>
        <v>264854.155</v>
      </c>
      <c r="F47" s="27" t="n">
        <f aca="false">F45+F46</f>
        <v>300589.7025</v>
      </c>
      <c r="G47" s="27" t="n">
        <f aca="false">G45+G46</f>
        <v>339886.68</v>
      </c>
      <c r="H47" s="27" t="n">
        <f aca="false">H45+H46</f>
        <v>375272.70452</v>
      </c>
      <c r="I47" s="27" t="n">
        <f aca="false">I45+I46</f>
        <v>412343.23300625</v>
      </c>
      <c r="J47" s="27" t="n">
        <f aca="false">J45+J46</f>
        <v>457700.988636938</v>
      </c>
      <c r="K47" s="27" t="n">
        <f aca="false">K45+K46</f>
        <v>508048.097387001</v>
      </c>
    </row>
    <row r="48" customFormat="false" ht="15" hidden="false" customHeight="true" outlineLevel="0" collapsed="false">
      <c r="A48" s="24" t="s">
        <v>110</v>
      </c>
      <c r="B48" s="22" t="n">
        <v>230000</v>
      </c>
      <c r="C48" s="22" t="n">
        <v>258000</v>
      </c>
      <c r="D48" s="22" t="n">
        <v>290000</v>
      </c>
      <c r="E48" s="22" t="n">
        <v>327000</v>
      </c>
      <c r="F48" s="22" t="n">
        <v>382000</v>
      </c>
      <c r="G48" s="32" t="n">
        <f aca="false">F48*1.12</f>
        <v>427840</v>
      </c>
      <c r="H48" s="32" t="n">
        <f aca="false">G48*1.12</f>
        <v>479180.8</v>
      </c>
      <c r="I48" s="32" t="n">
        <f aca="false">H48*1.12</f>
        <v>536682.496</v>
      </c>
      <c r="J48" s="32" t="n">
        <f aca="false">I48*1.12</f>
        <v>601084.39552</v>
      </c>
      <c r="K48" s="32" t="n">
        <f aca="false">J48*1.12</f>
        <v>673214.5229824</v>
      </c>
    </row>
    <row r="49" customFormat="false" ht="15" hidden="false" customHeight="true" outlineLevel="0" collapsed="false">
      <c r="A49" s="28" t="s">
        <v>111</v>
      </c>
      <c r="B49" s="25" t="n">
        <f aca="false">B48*Assumptions!B19</f>
        <v>13340</v>
      </c>
      <c r="C49" s="25" t="n">
        <f aca="false">C48*Assumptions!C19</f>
        <v>15996</v>
      </c>
      <c r="D49" s="25" t="n">
        <f aca="false">D48*Assumptions!D19</f>
        <v>18850</v>
      </c>
      <c r="E49" s="25" t="n">
        <f aca="false">E48*Assumptions!E19</f>
        <v>21909</v>
      </c>
      <c r="F49" s="25" t="n">
        <f aca="false">F48*Assumptions!F19</f>
        <v>25976</v>
      </c>
      <c r="G49" s="25" t="n">
        <f aca="false">G48*Assumptions!G19</f>
        <v>29093.12</v>
      </c>
      <c r="H49" s="25" t="n">
        <f aca="false">H48*Assumptions!H19</f>
        <v>32584.2944</v>
      </c>
      <c r="I49" s="25" t="n">
        <f aca="false">I48*Assumptions!I19</f>
        <v>36226.06848</v>
      </c>
      <c r="J49" s="25" t="n">
        <f aca="false">J48*Assumptions!J19</f>
        <v>40573.1966976</v>
      </c>
      <c r="K49" s="25" t="n">
        <f aca="false">K48*Assumptions!K19</f>
        <v>45441.980301312</v>
      </c>
    </row>
    <row r="50" customFormat="false" ht="15" hidden="false" customHeight="true" outlineLevel="0" collapsed="false">
      <c r="A50" s="26" t="s">
        <v>112</v>
      </c>
      <c r="B50" s="27" t="n">
        <f aca="false">B47+B49</f>
        <v>177404.45</v>
      </c>
      <c r="C50" s="27" t="n">
        <f aca="false">C47+C49</f>
        <v>211400.787</v>
      </c>
      <c r="D50" s="27" t="n">
        <f aca="false">D47+D49</f>
        <v>249416.664</v>
      </c>
      <c r="E50" s="27" t="n">
        <f aca="false">E47+E49</f>
        <v>286763.155</v>
      </c>
      <c r="F50" s="27" t="n">
        <f aca="false">F47+F49</f>
        <v>326565.7025</v>
      </c>
      <c r="G50" s="27" t="n">
        <f aca="false">G47+G49</f>
        <v>368979.8</v>
      </c>
      <c r="H50" s="27" t="n">
        <f aca="false">H47+H49</f>
        <v>407856.99892</v>
      </c>
      <c r="I50" s="27" t="n">
        <f aca="false">I47+I49</f>
        <v>448569.30148625</v>
      </c>
      <c r="J50" s="27" t="n">
        <f aca="false">J47+J49</f>
        <v>498274.185334538</v>
      </c>
      <c r="K50" s="27" t="n">
        <f aca="false">K47+K49</f>
        <v>553490.077688313</v>
      </c>
    </row>
    <row r="52" customFormat="false" ht="15" hidden="false" customHeight="true" outlineLevel="0" collapsed="false">
      <c r="A52" s="26" t="s">
        <v>113</v>
      </c>
      <c r="B52" s="27" t="n">
        <f aca="false">B37-B50</f>
        <v>119940.038</v>
      </c>
      <c r="C52" s="27" t="n">
        <f aca="false">C37-C50</f>
        <v>143955.47</v>
      </c>
      <c r="D52" s="27" t="n">
        <f aca="false">D37-D50</f>
        <v>160051.691</v>
      </c>
      <c r="E52" s="27" t="n">
        <f aca="false">E37-E50</f>
        <v>166944.845</v>
      </c>
      <c r="F52" s="27" t="n">
        <f aca="false">F37-F50</f>
        <v>173812.1785</v>
      </c>
      <c r="G52" s="27" t="n">
        <f aca="false">G37-G50</f>
        <v>208992.271275</v>
      </c>
      <c r="H52" s="27" t="n">
        <f aca="false">H37-H50</f>
        <v>249999.447909</v>
      </c>
      <c r="I52" s="27" t="n">
        <f aca="false">I37-I50</f>
        <v>297549.463440936</v>
      </c>
      <c r="J52" s="27" t="n">
        <f aca="false">J37-J50</f>
        <v>339936.337842825</v>
      </c>
      <c r="K52" s="27" t="n">
        <f aca="false">K37-K50</f>
        <v>383661.626933214</v>
      </c>
    </row>
    <row r="53" customFormat="false" ht="15" hidden="false" customHeight="true" outlineLevel="0" collapsed="false">
      <c r="A53" s="28" t="s">
        <v>114</v>
      </c>
      <c r="B53" s="29" t="s">
        <v>75</v>
      </c>
      <c r="C53" s="30" t="n">
        <f aca="false">C52/B52-1</f>
        <v>0.20022865091972</v>
      </c>
      <c r="D53" s="30" t="n">
        <f aca="false">D52/C52-1</f>
        <v>0.111813889392324</v>
      </c>
      <c r="E53" s="30" t="n">
        <f aca="false">E52/D52-1</f>
        <v>0.0430682984786457</v>
      </c>
      <c r="F53" s="30" t="n">
        <f aca="false">F52/E52-1</f>
        <v>0.0411353432326711</v>
      </c>
      <c r="G53" s="30" t="n">
        <f aca="false">G52/F52-1</f>
        <v>0.202402921812524</v>
      </c>
      <c r="H53" s="30" t="n">
        <f aca="false">H52/G52-1</f>
        <v>0.196213842664264</v>
      </c>
      <c r="I53" s="30" t="n">
        <f aca="false">I52/H52-1</f>
        <v>0.190200482159639</v>
      </c>
      <c r="J53" s="30" t="n">
        <f aca="false">J52/I52-1</f>
        <v>0.142453203953781</v>
      </c>
      <c r="K53" s="30" t="n">
        <f aca="false">K52/J52-1</f>
        <v>0.1286278759366</v>
      </c>
    </row>
    <row r="54" customFormat="false" ht="15" hidden="false" customHeight="true" outlineLevel="0" collapsed="false">
      <c r="A54" s="28" t="s">
        <v>115</v>
      </c>
      <c r="B54" s="31" t="n">
        <f aca="false">B52/B21</f>
        <v>0.0479194319347714</v>
      </c>
      <c r="C54" s="31" t="n">
        <f aca="false">C52/C21</f>
        <v>0.0500583742965318</v>
      </c>
      <c r="D54" s="31" t="n">
        <f aca="false">D52/D21</f>
        <v>0.0486137234742119</v>
      </c>
      <c r="E54" s="31" t="n">
        <f aca="false">E52/E21</f>
        <v>0.0463478192670738</v>
      </c>
      <c r="F54" s="31" t="n">
        <f aca="false">F52/F21</f>
        <v>0.0414911560564489</v>
      </c>
      <c r="G54" s="31" t="n">
        <f aca="false">G52/G21</f>
        <v>0.0437217428556705</v>
      </c>
      <c r="H54" s="31" t="n">
        <f aca="false">H52/H21</f>
        <v>0.0460865410937828</v>
      </c>
      <c r="I54" s="31" t="n">
        <f aca="false">I52/I21</f>
        <v>0.0485339361167224</v>
      </c>
      <c r="J54" s="31" t="n">
        <f aca="false">J52/J21</f>
        <v>0.0491768775599256</v>
      </c>
      <c r="K54" s="31" t="n">
        <f aca="false">K52/K21</f>
        <v>0.0493788016884669</v>
      </c>
    </row>
    <row r="56" customFormat="false" ht="16.5" hidden="false" customHeight="true" outlineLevel="0" collapsed="false">
      <c r="A56" s="18" t="s">
        <v>116</v>
      </c>
      <c r="B56" s="18"/>
      <c r="C56" s="18"/>
      <c r="D56" s="18"/>
      <c r="E56" s="18"/>
      <c r="F56" s="18"/>
      <c r="G56" s="18"/>
      <c r="H56" s="18"/>
      <c r="I56" s="18"/>
      <c r="J56" s="18"/>
      <c r="K56" s="18"/>
    </row>
    <row r="57" customFormat="false" ht="15" hidden="false" customHeight="true" outlineLevel="0" collapsed="false">
      <c r="A57" s="24" t="s">
        <v>117</v>
      </c>
      <c r="B57" s="22" t="n">
        <v>24700</v>
      </c>
      <c r="C57" s="22" t="n">
        <v>27900</v>
      </c>
      <c r="D57" s="22" t="n">
        <v>31700</v>
      </c>
      <c r="E57" s="22" t="n">
        <v>35800</v>
      </c>
      <c r="F57" s="22" t="n">
        <v>40400</v>
      </c>
      <c r="G57" s="25" t="n">
        <f aca="false">F57*(1+Assumptions!G22)</f>
        <v>45248</v>
      </c>
      <c r="H57" s="25" t="n">
        <f aca="false">G57*(1+Assumptions!H22)</f>
        <v>50677.76</v>
      </c>
      <c r="I57" s="25" t="n">
        <f aca="false">H57*(1+Assumptions!I22)</f>
        <v>56759.0912</v>
      </c>
      <c r="J57" s="25" t="n">
        <f aca="false">I57*(1+Assumptions!J22)</f>
        <v>63570.182144</v>
      </c>
      <c r="K57" s="25" t="n">
        <f aca="false">J57*(1+Assumptions!K22)</f>
        <v>71198.6040012801</v>
      </c>
    </row>
    <row r="58" customFormat="false" ht="15" hidden="false" customHeight="true" outlineLevel="0" collapsed="false">
      <c r="A58" s="28" t="s">
        <v>118</v>
      </c>
      <c r="B58" s="29" t="s">
        <v>75</v>
      </c>
      <c r="C58" s="30" t="n">
        <f aca="false">C57/B57-1</f>
        <v>0.129554655870445</v>
      </c>
      <c r="D58" s="30" t="n">
        <f aca="false">D57/C57-1</f>
        <v>0.136200716845878</v>
      </c>
      <c r="E58" s="30" t="n">
        <f aca="false">E57/D57-1</f>
        <v>0.129337539432177</v>
      </c>
      <c r="F58" s="30" t="n">
        <f aca="false">F57/E57-1</f>
        <v>0.128491620111732</v>
      </c>
      <c r="G58" s="30" t="n">
        <f aca="false">G57/F57-1</f>
        <v>0.12</v>
      </c>
      <c r="H58" s="30" t="n">
        <f aca="false">H57/G57-1</f>
        <v>0.12</v>
      </c>
      <c r="I58" s="30" t="n">
        <f aca="false">I57/H57-1</f>
        <v>0.12</v>
      </c>
      <c r="J58" s="30" t="n">
        <f aca="false">J57/I57-1</f>
        <v>0.12</v>
      </c>
      <c r="K58" s="30" t="n">
        <f aca="false">K57/J57-1</f>
        <v>0.12</v>
      </c>
    </row>
    <row r="59" customFormat="false" ht="15" hidden="false" customHeight="true" outlineLevel="0" collapsed="false">
      <c r="A59" s="24" t="s">
        <v>119</v>
      </c>
      <c r="B59" s="22" t="n">
        <v>1900</v>
      </c>
      <c r="C59" s="22" t="n">
        <v>6800</v>
      </c>
      <c r="D59" s="22" t="n">
        <v>8200</v>
      </c>
      <c r="E59" s="22" t="n">
        <v>9100</v>
      </c>
      <c r="F59" s="22" t="n">
        <v>14800</v>
      </c>
      <c r="G59" s="25" t="n">
        <f aca="false">F59*(1+Assumptions!G23)</f>
        <v>10360</v>
      </c>
      <c r="H59" s="25" t="n">
        <f aca="false">G59*(1+Assumptions!H23)</f>
        <v>11188.8</v>
      </c>
      <c r="I59" s="25" t="n">
        <f aca="false">H59*(1+Assumptions!I23)</f>
        <v>12083.904</v>
      </c>
      <c r="J59" s="25" t="n">
        <f aca="false">I59*(1+Assumptions!J23)</f>
        <v>13050.61632</v>
      </c>
      <c r="K59" s="25" t="n">
        <f aca="false">J59*(1+Assumptions!K23)</f>
        <v>14094.6656256</v>
      </c>
    </row>
    <row r="60" customFormat="false" ht="15" hidden="false" customHeight="true" outlineLevel="0" collapsed="false">
      <c r="A60" s="24" t="s">
        <v>120</v>
      </c>
      <c r="B60" s="22" t="n">
        <v>2400</v>
      </c>
      <c r="C60" s="22" t="n">
        <v>2700</v>
      </c>
      <c r="D60" s="22" t="n">
        <v>3100</v>
      </c>
      <c r="E60" s="22" t="n">
        <v>3600</v>
      </c>
      <c r="F60" s="22" t="n">
        <v>8300</v>
      </c>
      <c r="G60" s="25" t="n">
        <f aca="false">F60*(1+Assumptions!G24)</f>
        <v>5395</v>
      </c>
      <c r="H60" s="25" t="n">
        <f aca="false">G60*(1+Assumptions!H24)</f>
        <v>5826.6</v>
      </c>
      <c r="I60" s="25" t="n">
        <f aca="false">H60*(1+Assumptions!I24)</f>
        <v>6292.728</v>
      </c>
      <c r="J60" s="25" t="n">
        <f aca="false">I60*(1+Assumptions!J24)</f>
        <v>6796.14624</v>
      </c>
      <c r="K60" s="25" t="n">
        <f aca="false">J60*(1+Assumptions!K24)</f>
        <v>7339.8379392</v>
      </c>
    </row>
    <row r="61" customFormat="false" ht="15" hidden="false" customHeight="true" outlineLevel="0" collapsed="false">
      <c r="A61" s="24" t="s">
        <v>121</v>
      </c>
      <c r="B61" s="22" t="n">
        <v>2100</v>
      </c>
      <c r="C61" s="22" t="n">
        <v>2600</v>
      </c>
      <c r="D61" s="22" t="n">
        <v>3200</v>
      </c>
      <c r="E61" s="22" t="n">
        <v>3900</v>
      </c>
      <c r="F61" s="22" t="n">
        <v>4600</v>
      </c>
      <c r="G61" s="25" t="n">
        <f aca="false">F61*(1+Assumptions!G25)</f>
        <v>5060</v>
      </c>
      <c r="H61" s="25" t="n">
        <f aca="false">G61*(1+Assumptions!H25)</f>
        <v>5566</v>
      </c>
      <c r="I61" s="25" t="n">
        <f aca="false">H61*(1+Assumptions!I25)</f>
        <v>6122.6</v>
      </c>
      <c r="J61" s="25" t="n">
        <f aca="false">I61*(1+Assumptions!J25)</f>
        <v>6734.86</v>
      </c>
      <c r="K61" s="25" t="n">
        <f aca="false">J61*(1+Assumptions!K25)</f>
        <v>7408.346</v>
      </c>
    </row>
    <row r="62" customFormat="false" ht="15" hidden="false" customHeight="true" outlineLevel="0" collapsed="false">
      <c r="A62" s="24" t="s">
        <v>122</v>
      </c>
      <c r="B62" s="22" t="n">
        <v>7200</v>
      </c>
      <c r="C62" s="22" t="n">
        <v>6500</v>
      </c>
      <c r="D62" s="22" t="n">
        <v>6100</v>
      </c>
      <c r="E62" s="22" t="n">
        <v>5700</v>
      </c>
      <c r="F62" s="22" t="n">
        <v>5200</v>
      </c>
      <c r="G62" s="32" t="n">
        <f aca="false">F62*0.97</f>
        <v>5044</v>
      </c>
      <c r="H62" s="32" t="n">
        <f aca="false">G62*0.97</f>
        <v>4892.68</v>
      </c>
      <c r="I62" s="32" t="n">
        <f aca="false">H62*0.97</f>
        <v>4745.8996</v>
      </c>
      <c r="J62" s="32" t="n">
        <f aca="false">I62*0.97</f>
        <v>4603.522612</v>
      </c>
      <c r="K62" s="32" t="n">
        <f aca="false">J62*0.97</f>
        <v>4465.41693364</v>
      </c>
    </row>
    <row r="63" customFormat="false" ht="15" hidden="false" customHeight="true" outlineLevel="0" collapsed="false">
      <c r="A63" s="24" t="s">
        <v>123</v>
      </c>
      <c r="B63" s="22" t="n">
        <v>3500</v>
      </c>
      <c r="C63" s="22" t="n">
        <v>3700</v>
      </c>
      <c r="D63" s="22" t="n">
        <v>4000</v>
      </c>
      <c r="E63" s="22" t="n">
        <v>4300</v>
      </c>
      <c r="F63" s="22" t="n">
        <v>4600</v>
      </c>
      <c r="G63" s="32" t="n">
        <f aca="false">F63*1.08</f>
        <v>4968</v>
      </c>
      <c r="H63" s="32" t="n">
        <f aca="false">G63*1.08</f>
        <v>5365.44</v>
      </c>
      <c r="I63" s="32" t="n">
        <f aca="false">H63*1.08</f>
        <v>5794.6752</v>
      </c>
      <c r="J63" s="32" t="n">
        <f aca="false">I63*1.08</f>
        <v>6258.249216</v>
      </c>
      <c r="K63" s="32" t="n">
        <f aca="false">J63*1.08</f>
        <v>6758.90915328</v>
      </c>
    </row>
    <row r="64" customFormat="false" ht="15" hidden="false" customHeight="true" outlineLevel="0" collapsed="false">
      <c r="A64" s="33" t="s">
        <v>124</v>
      </c>
      <c r="B64" s="25" t="n">
        <f aca="false">Assumptions!B26</f>
        <v>0</v>
      </c>
      <c r="C64" s="25" t="n">
        <f aca="false">Assumptions!C26</f>
        <v>0</v>
      </c>
      <c r="D64" s="25" t="n">
        <f aca="false">Assumptions!D26</f>
        <v>0</v>
      </c>
      <c r="E64" s="25" t="n">
        <f aca="false">Assumptions!E26</f>
        <v>0</v>
      </c>
      <c r="F64" s="25" t="n">
        <f aca="false">Assumptions!F26</f>
        <v>4618</v>
      </c>
      <c r="G64" s="25" t="n">
        <f aca="false">Assumptions!G26</f>
        <v>0</v>
      </c>
      <c r="H64" s="25" t="n">
        <f aca="false">Assumptions!H26</f>
        <v>0</v>
      </c>
      <c r="I64" s="25" t="n">
        <f aca="false">Assumptions!I26</f>
        <v>0</v>
      </c>
      <c r="J64" s="25" t="n">
        <f aca="false">Assumptions!J26</f>
        <v>0</v>
      </c>
      <c r="K64" s="25" t="n">
        <f aca="false">Assumptions!K26</f>
        <v>0</v>
      </c>
    </row>
    <row r="65" customFormat="false" ht="15" hidden="false" customHeight="true" outlineLevel="0" collapsed="false">
      <c r="A65" s="26" t="s">
        <v>125</v>
      </c>
      <c r="B65" s="27" t="n">
        <f aca="false">B57+B59+B60+B61+B62+B63+B64</f>
        <v>41800</v>
      </c>
      <c r="C65" s="27" t="n">
        <f aca="false">C57+C59+C60+C61+C62+C63+C64</f>
        <v>50200</v>
      </c>
      <c r="D65" s="27" t="n">
        <f aca="false">D57+D59+D60+D61+D62+D63+D64</f>
        <v>56300</v>
      </c>
      <c r="E65" s="27" t="n">
        <f aca="false">E57+E59+E60+E61+E62+E63+E64</f>
        <v>62400</v>
      </c>
      <c r="F65" s="27" t="n">
        <f aca="false">F57+F59+F60+F61+F62+F63+F64</f>
        <v>82518</v>
      </c>
      <c r="G65" s="27" t="n">
        <f aca="false">G57+G59+G60+G61+G62+G63+G64</f>
        <v>76075</v>
      </c>
      <c r="H65" s="27" t="n">
        <f aca="false">H57+H59+H60+H61+H62+H63+H64</f>
        <v>83517.28</v>
      </c>
      <c r="I65" s="27" t="n">
        <f aca="false">I57+I59+I60+I61+I62+I63+I64</f>
        <v>91798.898</v>
      </c>
      <c r="J65" s="27" t="n">
        <f aca="false">J57+J59+J60+J61+J62+J63+J64</f>
        <v>101013.576532</v>
      </c>
      <c r="K65" s="27" t="n">
        <f aca="false">K57+K59+K60+K61+K62+K63+K64</f>
        <v>111265.779653</v>
      </c>
    </row>
    <row r="66" customFormat="false" ht="15" hidden="false" customHeight="true" outlineLevel="0" collapsed="false">
      <c r="A66" s="26" t="s">
        <v>126</v>
      </c>
      <c r="B66" s="27" t="n">
        <f aca="false">B52+B65</f>
        <v>161740.038</v>
      </c>
      <c r="C66" s="27" t="n">
        <f aca="false">C52+C65</f>
        <v>194155.47</v>
      </c>
      <c r="D66" s="27" t="n">
        <f aca="false">D52+D65</f>
        <v>216351.691</v>
      </c>
      <c r="E66" s="27" t="n">
        <f aca="false">E52+E65</f>
        <v>229344.845</v>
      </c>
      <c r="F66" s="27" t="n">
        <f aca="false">F52+F65</f>
        <v>256330.1785</v>
      </c>
      <c r="G66" s="27" t="n">
        <f aca="false">G52+G65</f>
        <v>285067.271275</v>
      </c>
      <c r="H66" s="27" t="n">
        <f aca="false">H52+H65</f>
        <v>333516.727909</v>
      </c>
      <c r="I66" s="27" t="n">
        <f aca="false">I52+I65</f>
        <v>389348.361440936</v>
      </c>
      <c r="J66" s="27" t="n">
        <f aca="false">J52+J65</f>
        <v>440949.914374825</v>
      </c>
      <c r="K66" s="27" t="n">
        <f aca="false">K52+K65</f>
        <v>494927.406586214</v>
      </c>
    </row>
    <row r="67" customFormat="false" ht="15" hidden="false" customHeight="true" outlineLevel="0" collapsed="false">
      <c r="A67" s="28" t="s">
        <v>127</v>
      </c>
      <c r="B67" s="29" t="s">
        <v>75</v>
      </c>
      <c r="C67" s="30" t="n">
        <f aca="false">C66/B66-1</f>
        <v>0.20041686895115</v>
      </c>
      <c r="D67" s="30" t="n">
        <f aca="false">D66/C66-1</f>
        <v>0.114321893686539</v>
      </c>
      <c r="E67" s="30" t="n">
        <f aca="false">E66/D66-1</f>
        <v>0.0600557080924318</v>
      </c>
      <c r="F67" s="30" t="n">
        <f aca="false">F66/E66-1</f>
        <v>0.117662699155065</v>
      </c>
      <c r="G67" s="30" t="n">
        <f aca="false">G66/F66-1</f>
        <v>0.112109674105345</v>
      </c>
      <c r="H67" s="30" t="n">
        <f aca="false">H66/G66-1</f>
        <v>0.169957976646367</v>
      </c>
      <c r="I67" s="30" t="n">
        <f aca="false">I66/H66-1</f>
        <v>0.167402798300327</v>
      </c>
      <c r="J67" s="30" t="n">
        <f aca="false">J66/I66-1</f>
        <v>0.132533119551134</v>
      </c>
      <c r="K67" s="30" t="n">
        <f aca="false">K66/J66-1</f>
        <v>0.122411844183977</v>
      </c>
    </row>
    <row r="69" customFormat="false" ht="16.5" hidden="false" customHeight="true" outlineLevel="0" collapsed="false">
      <c r="A69" s="18" t="s">
        <v>128</v>
      </c>
      <c r="B69" s="18"/>
      <c r="C69" s="18"/>
      <c r="D69" s="18"/>
      <c r="E69" s="18"/>
      <c r="F69" s="18"/>
      <c r="G69" s="18"/>
      <c r="H69" s="18"/>
      <c r="I69" s="18"/>
      <c r="J69" s="18"/>
      <c r="K69" s="18"/>
    </row>
    <row r="70" customFormat="false" ht="15" hidden="false" customHeight="true" outlineLevel="0" collapsed="false">
      <c r="A70" s="23" t="s">
        <v>129</v>
      </c>
      <c r="B70" s="23"/>
      <c r="C70" s="23"/>
      <c r="D70" s="23"/>
      <c r="E70" s="23"/>
      <c r="F70" s="23"/>
      <c r="G70" s="23"/>
      <c r="H70" s="23"/>
      <c r="I70" s="23"/>
      <c r="J70" s="23"/>
      <c r="K70" s="23"/>
    </row>
    <row r="71" customFormat="false" ht="15" hidden="false" customHeight="true" outlineLevel="0" collapsed="false">
      <c r="A71" s="24" t="s">
        <v>130</v>
      </c>
      <c r="B71" s="25" t="n">
        <f aca="false">'Revenue Model'!B21</f>
        <v>2502952</v>
      </c>
      <c r="C71" s="25" t="n">
        <f aca="false">'Revenue Model'!C21</f>
        <v>2875752</v>
      </c>
      <c r="D71" s="25" t="n">
        <f aca="false">'Revenue Model'!D21</f>
        <v>3292315</v>
      </c>
      <c r="E71" s="25" t="n">
        <f aca="false">'Revenue Model'!E21</f>
        <v>3602000</v>
      </c>
      <c r="F71" s="25" t="n">
        <f aca="false">'Revenue Model'!F21</f>
        <v>4189138</v>
      </c>
      <c r="G71" s="25" t="n">
        <f aca="false">'Revenue Model'!G21</f>
        <v>4780053.53</v>
      </c>
      <c r="H71" s="25" t="n">
        <f aca="false">'Revenue Model'!H21</f>
        <v>5424565.2196</v>
      </c>
      <c r="I71" s="25" t="n">
        <f aca="false">'Revenue Model'!I21</f>
        <v>6130750.712766</v>
      </c>
      <c r="J71" s="25" t="n">
        <f aca="false">'Revenue Model'!J21</f>
        <v>6912523.82643831</v>
      </c>
      <c r="K71" s="25" t="n">
        <f aca="false">'Revenue Model'!K21</f>
        <v>7769763.82200915</v>
      </c>
    </row>
    <row r="72" customFormat="false" ht="15" hidden="false" customHeight="true" outlineLevel="0" collapsed="false">
      <c r="A72" s="28" t="s">
        <v>131</v>
      </c>
      <c r="B72" s="30" t="n">
        <f aca="false">B71/B28</f>
        <v>0.889999879102772</v>
      </c>
      <c r="C72" s="30" t="n">
        <f aca="false">C71/C28</f>
        <v>0.88</v>
      </c>
      <c r="D72" s="30" t="n">
        <f aca="false">D71/D28</f>
        <v>0.870000026425176</v>
      </c>
      <c r="E72" s="30" t="n">
        <f aca="false">E71/E28</f>
        <v>0.853352286188107</v>
      </c>
      <c r="F72" s="30" t="n">
        <f aca="false">F71/F28</f>
        <v>0.849379156528792</v>
      </c>
      <c r="G72" s="30" t="n">
        <f aca="false">G71/G28</f>
        <v>0.847260807680961</v>
      </c>
      <c r="H72" s="30" t="n">
        <f aca="false">H71/H28</f>
        <v>0.845534838081477</v>
      </c>
      <c r="I72" s="30" t="n">
        <f aca="false">I71/I28</f>
        <v>0.844401876053128</v>
      </c>
      <c r="J72" s="30" t="n">
        <f aca="false">J71/J28</f>
        <v>0.844112601295823</v>
      </c>
      <c r="K72" s="30" t="n">
        <f aca="false">K71/K28</f>
        <v>0.844582611135605</v>
      </c>
    </row>
    <row r="73" customFormat="false" ht="15" hidden="false" customHeight="true" outlineLevel="0" collapsed="false">
      <c r="A73" s="28" t="s">
        <v>87</v>
      </c>
      <c r="B73" s="29" t="s">
        <v>75</v>
      </c>
      <c r="C73" s="30" t="n">
        <f aca="false">C71/B71-1</f>
        <v>0.148944126775104</v>
      </c>
      <c r="D73" s="30" t="n">
        <f aca="false">D71/C71-1</f>
        <v>0.144853589600216</v>
      </c>
      <c r="E73" s="30" t="n">
        <f aca="false">E71/D71-1</f>
        <v>0.0940629921499006</v>
      </c>
      <c r="F73" s="30" t="n">
        <f aca="false">F71/E71-1</f>
        <v>0.16300333148251</v>
      </c>
      <c r="G73" s="30" t="n">
        <f aca="false">G71/F71-1</f>
        <v>0.141058979198107</v>
      </c>
      <c r="H73" s="30" t="n">
        <f aca="false">H71/G71-1</f>
        <v>0.134833571539522</v>
      </c>
      <c r="I73" s="30" t="n">
        <f aca="false">I71/H71-1</f>
        <v>0.130182874493686</v>
      </c>
      <c r="J73" s="30" t="n">
        <f aca="false">J71/I71-1</f>
        <v>0.127516702325611</v>
      </c>
      <c r="K73" s="30" t="n">
        <f aca="false">K71/J71-1</f>
        <v>0.12401259179638</v>
      </c>
    </row>
    <row r="74" customFormat="false" ht="15" hidden="false" customHeight="true" outlineLevel="0" collapsed="false">
      <c r="A74" s="33" t="s">
        <v>132</v>
      </c>
      <c r="B74" s="25" t="n">
        <f aca="false">'Revenue Model'!B23</f>
        <v>182715.496</v>
      </c>
      <c r="C74" s="25" t="n">
        <f aca="false">'Revenue Model'!C23</f>
        <v>218557.152</v>
      </c>
      <c r="D74" s="25" t="n">
        <f aca="false">'Revenue Model'!D23</f>
        <v>260092.885</v>
      </c>
      <c r="E74" s="25" t="n">
        <f aca="false">'Revenue Model'!E23</f>
        <v>288160</v>
      </c>
      <c r="F74" s="25" t="n">
        <f aca="false">'Revenue Model'!F23</f>
        <v>330941.902</v>
      </c>
      <c r="G74" s="25" t="n">
        <f aca="false">'Revenue Model'!G23</f>
        <v>380014.255635</v>
      </c>
      <c r="H74" s="25" t="n">
        <f aca="false">'Revenue Model'!H23</f>
        <v>433965.217568</v>
      </c>
      <c r="I74" s="25" t="n">
        <f aca="false">'Revenue Model'!I23</f>
        <v>493525.432377663</v>
      </c>
      <c r="J74" s="25" t="n">
        <f aca="false">'Revenue Model'!J23</f>
        <v>556458.168028284</v>
      </c>
      <c r="K74" s="25" t="n">
        <f aca="false">'Revenue Model'!K23</f>
        <v>625465.987671737</v>
      </c>
    </row>
    <row r="75" customFormat="false" ht="15" hidden="false" customHeight="true" outlineLevel="0" collapsed="false">
      <c r="A75" s="23" t="s">
        <v>133</v>
      </c>
      <c r="B75" s="23"/>
      <c r="C75" s="23"/>
      <c r="D75" s="23"/>
      <c r="E75" s="23"/>
      <c r="F75" s="23"/>
      <c r="G75" s="23"/>
      <c r="H75" s="23"/>
      <c r="I75" s="23"/>
      <c r="J75" s="23"/>
      <c r="K75" s="23"/>
    </row>
    <row r="76" customFormat="false" ht="15" hidden="false" customHeight="true" outlineLevel="0" collapsed="false">
      <c r="A76" s="24" t="s">
        <v>134</v>
      </c>
      <c r="B76" s="25" t="n">
        <f aca="false">'Revenue Model'!B26</f>
        <v>309354</v>
      </c>
      <c r="C76" s="25" t="n">
        <f aca="false">'Revenue Model'!C26</f>
        <v>392148</v>
      </c>
      <c r="D76" s="25" t="n">
        <f aca="false">'Revenue Model'!D26</f>
        <v>491955</v>
      </c>
      <c r="E76" s="25" t="n">
        <f aca="false">'Revenue Model'!E26</f>
        <v>619000</v>
      </c>
      <c r="F76" s="25" t="n">
        <f aca="false">'Revenue Model'!F26</f>
        <v>742862</v>
      </c>
      <c r="G76" s="25" t="n">
        <f aca="false">'Revenue Model'!G26</f>
        <v>861719.92</v>
      </c>
      <c r="H76" s="25" t="n">
        <f aca="false">'Revenue Model'!H26</f>
        <v>990977.908</v>
      </c>
      <c r="I76" s="25" t="n">
        <f aca="false">'Revenue Model'!I26</f>
        <v>1129714.81512</v>
      </c>
      <c r="J76" s="25" t="n">
        <f aca="false">'Revenue Model'!J26</f>
        <v>1276577.7410856</v>
      </c>
      <c r="K76" s="25" t="n">
        <f aca="false">'Revenue Model'!K26</f>
        <v>1429767.07001587</v>
      </c>
    </row>
    <row r="77" customFormat="false" ht="15" hidden="false" customHeight="true" outlineLevel="0" collapsed="false">
      <c r="A77" s="28" t="s">
        <v>131</v>
      </c>
      <c r="B77" s="30" t="n">
        <f aca="false">B76/B28</f>
        <v>0.110000120897228</v>
      </c>
      <c r="C77" s="30" t="n">
        <f aca="false">C76/C28</f>
        <v>0.12</v>
      </c>
      <c r="D77" s="30" t="n">
        <f aca="false">D76/D28</f>
        <v>0.129999973574824</v>
      </c>
      <c r="E77" s="30" t="n">
        <f aca="false">E76/E28</f>
        <v>0.146647713811893</v>
      </c>
      <c r="F77" s="30" t="n">
        <f aca="false">F76/F28</f>
        <v>0.150620843471208</v>
      </c>
      <c r="G77" s="30" t="n">
        <f aca="false">G76/G28</f>
        <v>0.152739192319039</v>
      </c>
      <c r="H77" s="30" t="n">
        <f aca="false">H76/H28</f>
        <v>0.154465161918523</v>
      </c>
      <c r="I77" s="30" t="n">
        <f aca="false">I76/I28</f>
        <v>0.155598123946872</v>
      </c>
      <c r="J77" s="30" t="n">
        <f aca="false">J76/J28</f>
        <v>0.155887398704177</v>
      </c>
      <c r="K77" s="30" t="n">
        <f aca="false">K76/K28</f>
        <v>0.155417388864395</v>
      </c>
    </row>
    <row r="78" customFormat="false" ht="15" hidden="false" customHeight="true" outlineLevel="0" collapsed="false">
      <c r="A78" s="28" t="s">
        <v>135</v>
      </c>
      <c r="B78" s="29" t="s">
        <v>75</v>
      </c>
      <c r="C78" s="30" t="n">
        <f aca="false">C76/B76-1</f>
        <v>0.267635136445625</v>
      </c>
      <c r="D78" s="30" t="n">
        <f aca="false">D76/C76-1</f>
        <v>0.254513602007405</v>
      </c>
      <c r="E78" s="30" t="n">
        <f aca="false">E76/D76-1</f>
        <v>0.258245164700023</v>
      </c>
      <c r="F78" s="30" t="n">
        <f aca="false">F76/E76-1</f>
        <v>0.200100161550889</v>
      </c>
      <c r="G78" s="30" t="n">
        <f aca="false">G76/F76-1</f>
        <v>0.16</v>
      </c>
      <c r="H78" s="30" t="n">
        <f aca="false">H76/G76-1</f>
        <v>0.15</v>
      </c>
      <c r="I78" s="30" t="n">
        <f aca="false">I76/H76-1</f>
        <v>0.14</v>
      </c>
      <c r="J78" s="30" t="n">
        <f aca="false">J76/I76-1</f>
        <v>0.13</v>
      </c>
      <c r="K78" s="30" t="n">
        <f aca="false">K76/J76-1</f>
        <v>0.12</v>
      </c>
    </row>
    <row r="79" customFormat="false" ht="15" hidden="false" customHeight="true" outlineLevel="0" collapsed="false">
      <c r="A79" s="33" t="s">
        <v>136</v>
      </c>
      <c r="B79" s="25" t="n">
        <f aca="false">'Revenue Model'!B27</f>
        <v>14848.992</v>
      </c>
      <c r="C79" s="25" t="n">
        <f aca="false">'Revenue Model'!C27</f>
        <v>19999.548</v>
      </c>
      <c r="D79" s="25" t="n">
        <f aca="false">'Revenue Model'!D27</f>
        <v>26073.615</v>
      </c>
      <c r="E79" s="25" t="n">
        <f aca="false">'Revenue Model'!E27</f>
        <v>33426</v>
      </c>
      <c r="F79" s="25" t="n">
        <f aca="false">'Revenue Model'!F27</f>
        <v>40485.979</v>
      </c>
      <c r="G79" s="25" t="n">
        <f aca="false">'Revenue Model'!G27</f>
        <v>46963.73564</v>
      </c>
      <c r="H79" s="25" t="n">
        <f aca="false">'Revenue Model'!H27</f>
        <v>54008.295986</v>
      </c>
      <c r="I79" s="25" t="n">
        <f aca="false">'Revenue Model'!I27</f>
        <v>61569.45742404</v>
      </c>
      <c r="J79" s="25" t="n">
        <f aca="false">'Revenue Model'!J27</f>
        <v>69573.4868891652</v>
      </c>
      <c r="K79" s="25" t="n">
        <f aca="false">'Revenue Model'!K27</f>
        <v>77922.305315865</v>
      </c>
    </row>
    <row r="81" customFormat="false" ht="15" hidden="false" customHeight="true" outlineLevel="0" collapsed="false">
      <c r="A81" s="26" t="s">
        <v>137</v>
      </c>
      <c r="B81" s="27" t="n">
        <f aca="false">B71+B76</f>
        <v>2812306</v>
      </c>
      <c r="C81" s="27" t="n">
        <f aca="false">C71+C76</f>
        <v>3267900</v>
      </c>
      <c r="D81" s="27" t="n">
        <f aca="false">D71+D76</f>
        <v>3784270</v>
      </c>
      <c r="E81" s="27" t="n">
        <f aca="false">E71+E76</f>
        <v>4221000</v>
      </c>
      <c r="F81" s="27" t="n">
        <f aca="false">F71+F76</f>
        <v>4932000</v>
      </c>
      <c r="G81" s="27" t="n">
        <f aca="false">G71+G76</f>
        <v>5641773.45</v>
      </c>
      <c r="H81" s="27" t="n">
        <f aca="false">H71+H76</f>
        <v>6415543.1276</v>
      </c>
      <c r="I81" s="27" t="n">
        <f aca="false">I71+I76</f>
        <v>7260465.527886</v>
      </c>
      <c r="J81" s="27" t="n">
        <f aca="false">J71+J76</f>
        <v>8189101.56752391</v>
      </c>
      <c r="K81" s="27" t="n">
        <f aca="false">K71+K76</f>
        <v>9199530.89202503</v>
      </c>
    </row>
  </sheetData>
  <mergeCells count="14">
    <mergeCell ref="A1:K1"/>
    <mergeCell ref="A2:K2"/>
    <mergeCell ref="A4:K4"/>
    <mergeCell ref="A5:K5"/>
    <mergeCell ref="A12:K12"/>
    <mergeCell ref="A15:K15"/>
    <mergeCell ref="A18:K18"/>
    <mergeCell ref="A25:K25"/>
    <mergeCell ref="A33:K33"/>
    <mergeCell ref="A39:K39"/>
    <mergeCell ref="A56:K56"/>
    <mergeCell ref="A69:K69"/>
    <mergeCell ref="A70:K70"/>
    <mergeCell ref="A75:K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3.5"/>
  </cols>
  <sheetData>
    <row r="1" customFormat="false" ht="25.5" hidden="false" customHeight="true" outlineLevel="0" collapsed="false">
      <c r="A1" s="13" t="s">
        <v>138</v>
      </c>
      <c r="B1" s="13"/>
      <c r="C1" s="13"/>
      <c r="D1" s="13"/>
      <c r="E1" s="13"/>
      <c r="F1" s="13"/>
      <c r="G1" s="13"/>
      <c r="H1" s="13"/>
      <c r="I1" s="13"/>
      <c r="J1" s="13"/>
      <c r="K1" s="13"/>
    </row>
    <row r="2" customFormat="false" ht="15.75" hidden="false" customHeight="true" outlineLevel="0" collapsed="false">
      <c r="A2" s="14" t="s">
        <v>139</v>
      </c>
      <c r="B2" s="14"/>
      <c r="C2" s="14"/>
      <c r="D2" s="14"/>
      <c r="E2" s="14"/>
      <c r="F2" s="14"/>
      <c r="G2" s="14"/>
      <c r="H2" s="14"/>
      <c r="I2" s="14"/>
      <c r="J2" s="14"/>
      <c r="K2" s="14"/>
    </row>
    <row r="3" customFormat="false" ht="18" hidden="false" customHeight="true" outlineLevel="0" collapsed="false">
      <c r="A3" s="15" t="s">
        <v>21</v>
      </c>
      <c r="B3" s="16" t="s">
        <v>22</v>
      </c>
      <c r="C3" s="16" t="s">
        <v>23</v>
      </c>
      <c r="D3" s="16" t="s">
        <v>24</v>
      </c>
      <c r="E3" s="16" t="s">
        <v>25</v>
      </c>
      <c r="F3" s="16" t="s">
        <v>26</v>
      </c>
      <c r="G3" s="17" t="s">
        <v>27</v>
      </c>
      <c r="H3" s="17" t="s">
        <v>28</v>
      </c>
      <c r="I3" s="17" t="s">
        <v>29</v>
      </c>
      <c r="J3" s="17" t="s">
        <v>30</v>
      </c>
      <c r="K3" s="17" t="s">
        <v>31</v>
      </c>
    </row>
    <row r="4" customFormat="false" ht="16.5" hidden="false" customHeight="true" outlineLevel="0" collapsed="false">
      <c r="A4" s="18" t="s">
        <v>140</v>
      </c>
      <c r="B4" s="18"/>
      <c r="C4" s="18"/>
      <c r="D4" s="18"/>
      <c r="E4" s="18"/>
      <c r="F4" s="18"/>
      <c r="G4" s="18"/>
      <c r="H4" s="18"/>
      <c r="I4" s="18"/>
      <c r="J4" s="18"/>
      <c r="K4" s="18"/>
    </row>
    <row r="5" customFormat="false" ht="15" hidden="false" customHeight="true" outlineLevel="0" collapsed="false">
      <c r="A5" s="24" t="s">
        <v>141</v>
      </c>
      <c r="B5" s="25" t="n">
        <f aca="false">'Revenue Model'!B31</f>
        <v>197564.488</v>
      </c>
      <c r="C5" s="25" t="n">
        <f aca="false">'Revenue Model'!C31</f>
        <v>238556.7</v>
      </c>
      <c r="D5" s="25" t="n">
        <f aca="false">'Revenue Model'!D31</f>
        <v>286166.5</v>
      </c>
      <c r="E5" s="25" t="n">
        <f aca="false">'Revenue Model'!E31</f>
        <v>321586</v>
      </c>
      <c r="F5" s="25" t="n">
        <f aca="false">'Revenue Model'!F31</f>
        <v>371427.881</v>
      </c>
      <c r="G5" s="25" t="n">
        <f aca="false">'Revenue Model'!G31</f>
        <v>426977.991275</v>
      </c>
      <c r="H5" s="25" t="n">
        <f aca="false">'Revenue Model'!H31</f>
        <v>487973.513554</v>
      </c>
      <c r="I5" s="25" t="n">
        <f aca="false">'Revenue Model'!I31</f>
        <v>555094.889801703</v>
      </c>
      <c r="J5" s="25" t="n">
        <f aca="false">'Revenue Model'!J31</f>
        <v>626031.654917449</v>
      </c>
      <c r="K5" s="25" t="n">
        <f aca="false">'Revenue Model'!K31</f>
        <v>703388.292987602</v>
      </c>
    </row>
    <row r="6" customFormat="false" ht="15" hidden="false" customHeight="true" outlineLevel="0" collapsed="false">
      <c r="A6" s="24" t="s">
        <v>142</v>
      </c>
      <c r="B6" s="25" t="n">
        <f aca="false">'Revenue Model'!B35</f>
        <v>95580</v>
      </c>
      <c r="C6" s="25" t="n">
        <f aca="false">'Revenue Model'!C35</f>
        <v>112299.557</v>
      </c>
      <c r="D6" s="25" t="n">
        <f aca="false">'Revenue Model'!D35</f>
        <v>118401.855</v>
      </c>
      <c r="E6" s="25" t="n">
        <f aca="false">'Revenue Model'!E35</f>
        <v>126822</v>
      </c>
      <c r="F6" s="25" t="n">
        <f aca="false">'Revenue Model'!F35</f>
        <v>122850</v>
      </c>
      <c r="G6" s="25" t="n">
        <f aca="false">'Revenue Model'!G35</f>
        <v>144406.08</v>
      </c>
      <c r="H6" s="25" t="n">
        <f aca="false">'Revenue Model'!H35</f>
        <v>162767.893275</v>
      </c>
      <c r="I6" s="25" t="n">
        <f aca="false">'Revenue Model'!I35</f>
        <v>183339.631925483</v>
      </c>
      <c r="J6" s="25" t="n">
        <f aca="false">'Revenue Model'!J35</f>
        <v>203879.885603914</v>
      </c>
      <c r="K6" s="25" t="n">
        <f aca="false">'Revenue Model'!K35</f>
        <v>224800.510365445</v>
      </c>
    </row>
    <row r="7" customFormat="false" ht="15" hidden="false" customHeight="true" outlineLevel="0" collapsed="false">
      <c r="A7" s="24" t="s">
        <v>143</v>
      </c>
      <c r="B7" s="25" t="n">
        <f aca="false">'Revenue Model'!B36</f>
        <v>4200</v>
      </c>
      <c r="C7" s="25" t="n">
        <f aca="false">'Revenue Model'!C36</f>
        <v>4500</v>
      </c>
      <c r="D7" s="25" t="n">
        <f aca="false">'Revenue Model'!D36</f>
        <v>4900</v>
      </c>
      <c r="E7" s="25" t="n">
        <f aca="false">'Revenue Model'!E36</f>
        <v>5300</v>
      </c>
      <c r="F7" s="25" t="n">
        <f aca="false">'Revenue Model'!F36</f>
        <v>6100</v>
      </c>
      <c r="G7" s="25" t="n">
        <f aca="false">'Revenue Model'!G36</f>
        <v>6588</v>
      </c>
      <c r="H7" s="25" t="n">
        <f aca="false">'Revenue Model'!H36</f>
        <v>7115.04</v>
      </c>
      <c r="I7" s="25" t="n">
        <f aca="false">'Revenue Model'!I36</f>
        <v>7684.2432</v>
      </c>
      <c r="J7" s="25" t="n">
        <f aca="false">'Revenue Model'!J36</f>
        <v>8298.982656</v>
      </c>
      <c r="K7" s="25" t="n">
        <f aca="false">'Revenue Model'!K36</f>
        <v>8962.90126848</v>
      </c>
    </row>
    <row r="8" customFormat="false" ht="15" hidden="false" customHeight="true" outlineLevel="0" collapsed="false">
      <c r="A8" s="26" t="s">
        <v>100</v>
      </c>
      <c r="B8" s="34" t="n">
        <f aca="false">'Revenue Model'!B37</f>
        <v>297344.488</v>
      </c>
      <c r="C8" s="34" t="n">
        <f aca="false">'Revenue Model'!C37</f>
        <v>355356.257</v>
      </c>
      <c r="D8" s="34" t="n">
        <f aca="false">'Revenue Model'!D37</f>
        <v>409468.355</v>
      </c>
      <c r="E8" s="34" t="n">
        <f aca="false">'Revenue Model'!E37</f>
        <v>453708</v>
      </c>
      <c r="F8" s="34" t="n">
        <f aca="false">'Revenue Model'!F37</f>
        <v>500377.881</v>
      </c>
      <c r="G8" s="34" t="n">
        <f aca="false">'Revenue Model'!G37</f>
        <v>577972.071275</v>
      </c>
      <c r="H8" s="34" t="n">
        <f aca="false">'Revenue Model'!H37</f>
        <v>657856.446829</v>
      </c>
      <c r="I8" s="34" t="n">
        <f aca="false">'Revenue Model'!I37</f>
        <v>746118.764927186</v>
      </c>
      <c r="J8" s="34" t="n">
        <f aca="false">'Revenue Model'!J37</f>
        <v>838210.523177363</v>
      </c>
      <c r="K8" s="34" t="n">
        <f aca="false">'Revenue Model'!K37</f>
        <v>937151.704621527</v>
      </c>
    </row>
    <row r="10" customFormat="false" ht="16.5" hidden="false" customHeight="true" outlineLevel="0" collapsed="false">
      <c r="A10" s="18" t="s">
        <v>144</v>
      </c>
      <c r="B10" s="18"/>
      <c r="C10" s="18"/>
      <c r="D10" s="18"/>
      <c r="E10" s="18"/>
      <c r="F10" s="18"/>
      <c r="G10" s="18"/>
      <c r="H10" s="18"/>
      <c r="I10" s="18"/>
      <c r="J10" s="18"/>
      <c r="K10" s="18"/>
    </row>
    <row r="11" customFormat="false" ht="15" hidden="false" customHeight="true" outlineLevel="0" collapsed="false">
      <c r="A11" s="24" t="s">
        <v>145</v>
      </c>
      <c r="B11" s="25" t="n">
        <f aca="false">'Revenue Model'!B47</f>
        <v>164064.45</v>
      </c>
      <c r="C11" s="25" t="n">
        <f aca="false">'Revenue Model'!C47</f>
        <v>195404.787</v>
      </c>
      <c r="D11" s="25" t="n">
        <f aca="false">'Revenue Model'!D47</f>
        <v>230566.664</v>
      </c>
      <c r="E11" s="25" t="n">
        <f aca="false">'Revenue Model'!E47</f>
        <v>264854.155</v>
      </c>
      <c r="F11" s="25" t="n">
        <f aca="false">'Revenue Model'!F47</f>
        <v>300589.7025</v>
      </c>
      <c r="G11" s="25" t="n">
        <f aca="false">'Revenue Model'!G47</f>
        <v>339886.68</v>
      </c>
      <c r="H11" s="25" t="n">
        <f aca="false">'Revenue Model'!H47</f>
        <v>375272.70452</v>
      </c>
      <c r="I11" s="25" t="n">
        <f aca="false">'Revenue Model'!I47</f>
        <v>412343.23300625</v>
      </c>
      <c r="J11" s="25" t="n">
        <f aca="false">'Revenue Model'!J47</f>
        <v>457700.988636938</v>
      </c>
      <c r="K11" s="25" t="n">
        <f aca="false">'Revenue Model'!K47</f>
        <v>508048.097387001</v>
      </c>
    </row>
    <row r="12" customFormat="false" ht="15" hidden="false" customHeight="true" outlineLevel="0" collapsed="false">
      <c r="A12" s="24" t="s">
        <v>146</v>
      </c>
      <c r="B12" s="25" t="n">
        <f aca="false">'Revenue Model'!B49</f>
        <v>13340</v>
      </c>
      <c r="C12" s="25" t="n">
        <f aca="false">'Revenue Model'!C49</f>
        <v>15996</v>
      </c>
      <c r="D12" s="25" t="n">
        <f aca="false">'Revenue Model'!D49</f>
        <v>18850</v>
      </c>
      <c r="E12" s="25" t="n">
        <f aca="false">'Revenue Model'!E49</f>
        <v>21909</v>
      </c>
      <c r="F12" s="25" t="n">
        <f aca="false">'Revenue Model'!F49</f>
        <v>25976</v>
      </c>
      <c r="G12" s="25" t="n">
        <f aca="false">'Revenue Model'!G49</f>
        <v>29093.12</v>
      </c>
      <c r="H12" s="25" t="n">
        <f aca="false">'Revenue Model'!H49</f>
        <v>32584.2944</v>
      </c>
      <c r="I12" s="25" t="n">
        <f aca="false">'Revenue Model'!I49</f>
        <v>36226.06848</v>
      </c>
      <c r="J12" s="25" t="n">
        <f aca="false">'Revenue Model'!J49</f>
        <v>40573.1966976</v>
      </c>
      <c r="K12" s="25" t="n">
        <f aca="false">'Revenue Model'!K49</f>
        <v>45441.980301312</v>
      </c>
    </row>
    <row r="13" customFormat="false" ht="15" hidden="false" customHeight="true" outlineLevel="0" collapsed="false">
      <c r="A13" s="26" t="s">
        <v>112</v>
      </c>
      <c r="B13" s="34" t="n">
        <f aca="false">'Revenue Model'!B50</f>
        <v>177404.45</v>
      </c>
      <c r="C13" s="34" t="n">
        <f aca="false">'Revenue Model'!C50</f>
        <v>211400.787</v>
      </c>
      <c r="D13" s="34" t="n">
        <f aca="false">'Revenue Model'!D50</f>
        <v>249416.664</v>
      </c>
      <c r="E13" s="34" t="n">
        <f aca="false">'Revenue Model'!E50</f>
        <v>286763.155</v>
      </c>
      <c r="F13" s="34" t="n">
        <f aca="false">'Revenue Model'!F50</f>
        <v>326565.7025</v>
      </c>
      <c r="G13" s="34" t="n">
        <f aca="false">'Revenue Model'!G50</f>
        <v>368979.8</v>
      </c>
      <c r="H13" s="34" t="n">
        <f aca="false">'Revenue Model'!H50</f>
        <v>407856.99892</v>
      </c>
      <c r="I13" s="34" t="n">
        <f aca="false">'Revenue Model'!I50</f>
        <v>448569.30148625</v>
      </c>
      <c r="J13" s="34" t="n">
        <f aca="false">'Revenue Model'!J50</f>
        <v>498274.185334538</v>
      </c>
      <c r="K13" s="34" t="n">
        <f aca="false">'Revenue Model'!K50</f>
        <v>553490.077688313</v>
      </c>
    </row>
    <row r="14" customFormat="false" ht="15" hidden="false" customHeight="true" outlineLevel="0" collapsed="false">
      <c r="A14" s="26" t="s">
        <v>113</v>
      </c>
      <c r="B14" s="27" t="n">
        <f aca="false">B8-B13</f>
        <v>119940.038</v>
      </c>
      <c r="C14" s="27" t="n">
        <f aca="false">C8-C13</f>
        <v>143955.47</v>
      </c>
      <c r="D14" s="27" t="n">
        <f aca="false">D8-D13</f>
        <v>160051.691</v>
      </c>
      <c r="E14" s="27" t="n">
        <f aca="false">E8-E13</f>
        <v>166944.845</v>
      </c>
      <c r="F14" s="27" t="n">
        <f aca="false">F8-F13</f>
        <v>173812.1785</v>
      </c>
      <c r="G14" s="27" t="n">
        <f aca="false">G8-G13</f>
        <v>208992.271275</v>
      </c>
      <c r="H14" s="27" t="n">
        <f aca="false">H8-H13</f>
        <v>249999.447909</v>
      </c>
      <c r="I14" s="27" t="n">
        <f aca="false">I8-I13</f>
        <v>297549.463440936</v>
      </c>
      <c r="J14" s="27" t="n">
        <f aca="false">J8-J13</f>
        <v>339936.337842825</v>
      </c>
      <c r="K14" s="27" t="n">
        <f aca="false">K8-K13</f>
        <v>383661.626933214</v>
      </c>
    </row>
    <row r="15" customFormat="false" ht="15" hidden="false" customHeight="true" outlineLevel="0" collapsed="false">
      <c r="A15" s="28" t="s">
        <v>147</v>
      </c>
      <c r="B15" s="29" t="s">
        <v>75</v>
      </c>
      <c r="C15" s="30" t="n">
        <f aca="false">C14/B14-1</f>
        <v>0.20022865091972</v>
      </c>
      <c r="D15" s="30" t="n">
        <f aca="false">D14/C14-1</f>
        <v>0.111813889392324</v>
      </c>
      <c r="E15" s="30" t="n">
        <f aca="false">E14/D14-1</f>
        <v>0.0430682984786457</v>
      </c>
      <c r="F15" s="30" t="n">
        <f aca="false">F14/E14-1</f>
        <v>0.0411353432326711</v>
      </c>
      <c r="G15" s="30" t="n">
        <f aca="false">G14/F14-1</f>
        <v>0.202402921812524</v>
      </c>
      <c r="H15" s="30" t="n">
        <f aca="false">H14/G14-1</f>
        <v>0.196213842664264</v>
      </c>
      <c r="I15" s="30" t="n">
        <f aca="false">I14/H14-1</f>
        <v>0.190200482159639</v>
      </c>
      <c r="J15" s="30" t="n">
        <f aca="false">J14/I14-1</f>
        <v>0.142453203953781</v>
      </c>
      <c r="K15" s="30" t="n">
        <f aca="false">K14/J14-1</f>
        <v>0.1286278759366</v>
      </c>
    </row>
    <row r="16" customFormat="false" ht="15" hidden="false" customHeight="true" outlineLevel="0" collapsed="false">
      <c r="A16" s="28" t="s">
        <v>148</v>
      </c>
      <c r="B16" s="35" t="n">
        <f aca="false">'Revenue Model'!B54</f>
        <v>0.0479194319347714</v>
      </c>
      <c r="C16" s="35" t="n">
        <f aca="false">'Revenue Model'!C54</f>
        <v>0.0500583742965318</v>
      </c>
      <c r="D16" s="35" t="n">
        <f aca="false">'Revenue Model'!D54</f>
        <v>0.0486137234742119</v>
      </c>
      <c r="E16" s="35" t="n">
        <f aca="false">'Revenue Model'!E54</f>
        <v>0.0463478192670738</v>
      </c>
      <c r="F16" s="35" t="n">
        <f aca="false">'Revenue Model'!F54</f>
        <v>0.0414911560564489</v>
      </c>
      <c r="G16" s="35" t="n">
        <f aca="false">'Revenue Model'!G54</f>
        <v>0.0437217428556705</v>
      </c>
      <c r="H16" s="35" t="n">
        <f aca="false">'Revenue Model'!H54</f>
        <v>0.0460865410937828</v>
      </c>
      <c r="I16" s="35" t="n">
        <f aca="false">'Revenue Model'!I54</f>
        <v>0.0485339361167224</v>
      </c>
      <c r="J16" s="35" t="n">
        <f aca="false">'Revenue Model'!J54</f>
        <v>0.0491768775599256</v>
      </c>
      <c r="K16" s="35" t="n">
        <f aca="false">'Revenue Model'!K54</f>
        <v>0.0493788016884669</v>
      </c>
    </row>
    <row r="18" customFormat="false" ht="16.5" hidden="false" customHeight="true" outlineLevel="0" collapsed="false">
      <c r="A18" s="18" t="s">
        <v>149</v>
      </c>
      <c r="B18" s="18"/>
      <c r="C18" s="18"/>
      <c r="D18" s="18"/>
      <c r="E18" s="18"/>
      <c r="F18" s="18"/>
      <c r="G18" s="18"/>
      <c r="H18" s="18"/>
      <c r="I18" s="18"/>
      <c r="J18" s="18"/>
      <c r="K18" s="18"/>
    </row>
    <row r="19" customFormat="false" ht="15" hidden="false" customHeight="true" outlineLevel="0" collapsed="false">
      <c r="A19" s="24" t="s">
        <v>150</v>
      </c>
      <c r="B19" s="25" t="n">
        <f aca="false">'Revenue Model'!B57</f>
        <v>24700</v>
      </c>
      <c r="C19" s="25" t="n">
        <f aca="false">'Revenue Model'!C57</f>
        <v>27900</v>
      </c>
      <c r="D19" s="25" t="n">
        <f aca="false">'Revenue Model'!D57</f>
        <v>31700</v>
      </c>
      <c r="E19" s="25" t="n">
        <f aca="false">'Revenue Model'!E57</f>
        <v>35800</v>
      </c>
      <c r="F19" s="25" t="n">
        <f aca="false">'Revenue Model'!F57</f>
        <v>40400</v>
      </c>
      <c r="G19" s="25" t="n">
        <f aca="false">'Revenue Model'!G57</f>
        <v>45248</v>
      </c>
      <c r="H19" s="25" t="n">
        <f aca="false">'Revenue Model'!H57</f>
        <v>50677.76</v>
      </c>
      <c r="I19" s="25" t="n">
        <f aca="false">'Revenue Model'!I57</f>
        <v>56759.0912</v>
      </c>
      <c r="J19" s="25" t="n">
        <f aca="false">'Revenue Model'!J57</f>
        <v>63570.182144</v>
      </c>
      <c r="K19" s="25" t="n">
        <f aca="false">'Revenue Model'!K57</f>
        <v>71198.6040012801</v>
      </c>
    </row>
    <row r="20" customFormat="false" ht="15" hidden="false" customHeight="true" outlineLevel="0" collapsed="false">
      <c r="A20" s="24" t="s">
        <v>119</v>
      </c>
      <c r="B20" s="25" t="n">
        <f aca="false">'Revenue Model'!B59</f>
        <v>1900</v>
      </c>
      <c r="C20" s="25" t="n">
        <f aca="false">'Revenue Model'!C59</f>
        <v>6800</v>
      </c>
      <c r="D20" s="25" t="n">
        <f aca="false">'Revenue Model'!D59</f>
        <v>8200</v>
      </c>
      <c r="E20" s="25" t="n">
        <f aca="false">'Revenue Model'!E59</f>
        <v>9100</v>
      </c>
      <c r="F20" s="25" t="n">
        <f aca="false">'Revenue Model'!F59</f>
        <v>14800</v>
      </c>
      <c r="G20" s="25" t="n">
        <f aca="false">'Revenue Model'!G59</f>
        <v>10360</v>
      </c>
      <c r="H20" s="25" t="n">
        <f aca="false">'Revenue Model'!H59</f>
        <v>11188.8</v>
      </c>
      <c r="I20" s="25" t="n">
        <f aca="false">'Revenue Model'!I59</f>
        <v>12083.904</v>
      </c>
      <c r="J20" s="25" t="n">
        <f aca="false">'Revenue Model'!J59</f>
        <v>13050.61632</v>
      </c>
      <c r="K20" s="25" t="n">
        <f aca="false">'Revenue Model'!K59</f>
        <v>14094.6656256</v>
      </c>
    </row>
    <row r="21" customFormat="false" ht="15" hidden="false" customHeight="true" outlineLevel="0" collapsed="false">
      <c r="A21" s="24" t="s">
        <v>120</v>
      </c>
      <c r="B21" s="25" t="n">
        <f aca="false">'Revenue Model'!B60</f>
        <v>2400</v>
      </c>
      <c r="C21" s="25" t="n">
        <f aca="false">'Revenue Model'!C60</f>
        <v>2700</v>
      </c>
      <c r="D21" s="25" t="n">
        <f aca="false">'Revenue Model'!D60</f>
        <v>3100</v>
      </c>
      <c r="E21" s="25" t="n">
        <f aca="false">'Revenue Model'!E60</f>
        <v>3600</v>
      </c>
      <c r="F21" s="25" t="n">
        <f aca="false">'Revenue Model'!F60</f>
        <v>8300</v>
      </c>
      <c r="G21" s="25" t="n">
        <f aca="false">'Revenue Model'!G60</f>
        <v>5395</v>
      </c>
      <c r="H21" s="25" t="n">
        <f aca="false">'Revenue Model'!H60</f>
        <v>5826.6</v>
      </c>
      <c r="I21" s="25" t="n">
        <f aca="false">'Revenue Model'!I60</f>
        <v>6292.728</v>
      </c>
      <c r="J21" s="25" t="n">
        <f aca="false">'Revenue Model'!J60</f>
        <v>6796.14624</v>
      </c>
      <c r="K21" s="25" t="n">
        <f aca="false">'Revenue Model'!K60</f>
        <v>7339.8379392</v>
      </c>
    </row>
    <row r="22" customFormat="false" ht="15" hidden="false" customHeight="true" outlineLevel="0" collapsed="false">
      <c r="A22" s="24" t="s">
        <v>151</v>
      </c>
      <c r="B22" s="25" t="n">
        <f aca="false">'Revenue Model'!B61</f>
        <v>2100</v>
      </c>
      <c r="C22" s="25" t="n">
        <f aca="false">'Revenue Model'!C61</f>
        <v>2600</v>
      </c>
      <c r="D22" s="25" t="n">
        <f aca="false">'Revenue Model'!D61</f>
        <v>3200</v>
      </c>
      <c r="E22" s="25" t="n">
        <f aca="false">'Revenue Model'!E61</f>
        <v>3900</v>
      </c>
      <c r="F22" s="25" t="n">
        <f aca="false">'Revenue Model'!F61</f>
        <v>4600</v>
      </c>
      <c r="G22" s="25" t="n">
        <f aca="false">'Revenue Model'!G61</f>
        <v>5060</v>
      </c>
      <c r="H22" s="25" t="n">
        <f aca="false">'Revenue Model'!H61</f>
        <v>5566</v>
      </c>
      <c r="I22" s="25" t="n">
        <f aca="false">'Revenue Model'!I61</f>
        <v>6122.6</v>
      </c>
      <c r="J22" s="25" t="n">
        <f aca="false">'Revenue Model'!J61</f>
        <v>6734.86</v>
      </c>
      <c r="K22" s="25" t="n">
        <f aca="false">'Revenue Model'!K61</f>
        <v>7408.346</v>
      </c>
    </row>
    <row r="23" customFormat="false" ht="15" hidden="false" customHeight="true" outlineLevel="0" collapsed="false">
      <c r="A23" s="24" t="s">
        <v>122</v>
      </c>
      <c r="B23" s="25" t="n">
        <f aca="false">'Revenue Model'!B62</f>
        <v>7200</v>
      </c>
      <c r="C23" s="25" t="n">
        <f aca="false">'Revenue Model'!C62</f>
        <v>6500</v>
      </c>
      <c r="D23" s="25" t="n">
        <f aca="false">'Revenue Model'!D62</f>
        <v>6100</v>
      </c>
      <c r="E23" s="25" t="n">
        <f aca="false">'Revenue Model'!E62</f>
        <v>5700</v>
      </c>
      <c r="F23" s="25" t="n">
        <f aca="false">'Revenue Model'!F62</f>
        <v>5200</v>
      </c>
      <c r="G23" s="25" t="n">
        <f aca="false">'Revenue Model'!G62</f>
        <v>5044</v>
      </c>
      <c r="H23" s="25" t="n">
        <f aca="false">'Revenue Model'!H62</f>
        <v>4892.68</v>
      </c>
      <c r="I23" s="25" t="n">
        <f aca="false">'Revenue Model'!I62</f>
        <v>4745.8996</v>
      </c>
      <c r="J23" s="25" t="n">
        <f aca="false">'Revenue Model'!J62</f>
        <v>4603.522612</v>
      </c>
      <c r="K23" s="25" t="n">
        <f aca="false">'Revenue Model'!K62</f>
        <v>4465.41693364</v>
      </c>
    </row>
    <row r="24" customFormat="false" ht="15" hidden="false" customHeight="true" outlineLevel="0" collapsed="false">
      <c r="A24" s="24" t="s">
        <v>152</v>
      </c>
      <c r="B24" s="25" t="n">
        <f aca="false">'Revenue Model'!B63</f>
        <v>3500</v>
      </c>
      <c r="C24" s="25" t="n">
        <f aca="false">'Revenue Model'!C63</f>
        <v>3700</v>
      </c>
      <c r="D24" s="25" t="n">
        <f aca="false">'Revenue Model'!D63</f>
        <v>4000</v>
      </c>
      <c r="E24" s="25" t="n">
        <f aca="false">'Revenue Model'!E63</f>
        <v>4300</v>
      </c>
      <c r="F24" s="25" t="n">
        <f aca="false">'Revenue Model'!F63</f>
        <v>4600</v>
      </c>
      <c r="G24" s="25" t="n">
        <f aca="false">'Revenue Model'!G63</f>
        <v>4968</v>
      </c>
      <c r="H24" s="25" t="n">
        <f aca="false">'Revenue Model'!H63</f>
        <v>5365.44</v>
      </c>
      <c r="I24" s="25" t="n">
        <f aca="false">'Revenue Model'!I63</f>
        <v>5794.6752</v>
      </c>
      <c r="J24" s="25" t="n">
        <f aca="false">'Revenue Model'!J63</f>
        <v>6258.249216</v>
      </c>
      <c r="K24" s="25" t="n">
        <f aca="false">'Revenue Model'!K63</f>
        <v>6758.90915328</v>
      </c>
    </row>
    <row r="25" customFormat="false" ht="15" hidden="false" customHeight="true" outlineLevel="0" collapsed="false">
      <c r="A25" s="33" t="s">
        <v>153</v>
      </c>
      <c r="B25" s="25" t="n">
        <f aca="false">'Revenue Model'!B64</f>
        <v>0</v>
      </c>
      <c r="C25" s="25" t="n">
        <f aca="false">'Revenue Model'!C64</f>
        <v>0</v>
      </c>
      <c r="D25" s="25" t="n">
        <f aca="false">'Revenue Model'!D64</f>
        <v>0</v>
      </c>
      <c r="E25" s="25" t="n">
        <f aca="false">'Revenue Model'!E64</f>
        <v>0</v>
      </c>
      <c r="F25" s="25" t="n">
        <f aca="false">'Revenue Model'!F64</f>
        <v>4618</v>
      </c>
      <c r="G25" s="25" t="n">
        <f aca="false">'Revenue Model'!G64</f>
        <v>0</v>
      </c>
      <c r="H25" s="25" t="n">
        <f aca="false">'Revenue Model'!H64</f>
        <v>0</v>
      </c>
      <c r="I25" s="25" t="n">
        <f aca="false">'Revenue Model'!I64</f>
        <v>0</v>
      </c>
      <c r="J25" s="25" t="n">
        <f aca="false">'Revenue Model'!J64</f>
        <v>0</v>
      </c>
      <c r="K25" s="25" t="n">
        <f aca="false">'Revenue Model'!K64</f>
        <v>0</v>
      </c>
    </row>
    <row r="26" customFormat="false" ht="15" hidden="false" customHeight="true" outlineLevel="0" collapsed="false">
      <c r="A26" s="26" t="s">
        <v>125</v>
      </c>
      <c r="B26" s="34" t="n">
        <f aca="false">'Revenue Model'!B65</f>
        <v>41800</v>
      </c>
      <c r="C26" s="34" t="n">
        <f aca="false">'Revenue Model'!C65</f>
        <v>50200</v>
      </c>
      <c r="D26" s="34" t="n">
        <f aca="false">'Revenue Model'!D65</f>
        <v>56300</v>
      </c>
      <c r="E26" s="34" t="n">
        <f aca="false">'Revenue Model'!E65</f>
        <v>62400</v>
      </c>
      <c r="F26" s="34" t="n">
        <f aca="false">'Revenue Model'!F65</f>
        <v>82518</v>
      </c>
      <c r="G26" s="34" t="n">
        <f aca="false">'Revenue Model'!G65</f>
        <v>76075</v>
      </c>
      <c r="H26" s="34" t="n">
        <f aca="false">'Revenue Model'!H65</f>
        <v>83517.28</v>
      </c>
      <c r="I26" s="34" t="n">
        <f aca="false">'Revenue Model'!I65</f>
        <v>91798.898</v>
      </c>
      <c r="J26" s="34" t="n">
        <f aca="false">'Revenue Model'!J65</f>
        <v>101013.576532</v>
      </c>
      <c r="K26" s="34" t="n">
        <f aca="false">'Revenue Model'!K65</f>
        <v>111265.779653</v>
      </c>
    </row>
    <row r="27" customFormat="false" ht="15" hidden="false" customHeight="true" outlineLevel="0" collapsed="false">
      <c r="A27" s="26" t="s">
        <v>154</v>
      </c>
      <c r="B27" s="27" t="n">
        <f aca="false">B14+B26</f>
        <v>161740.038</v>
      </c>
      <c r="C27" s="27" t="n">
        <f aca="false">C14+C26</f>
        <v>194155.47</v>
      </c>
      <c r="D27" s="27" t="n">
        <f aca="false">D14+D26</f>
        <v>216351.691</v>
      </c>
      <c r="E27" s="27" t="n">
        <f aca="false">E14+E26</f>
        <v>229344.845</v>
      </c>
      <c r="F27" s="27" t="n">
        <f aca="false">F14+F26</f>
        <v>256330.1785</v>
      </c>
      <c r="G27" s="27" t="n">
        <f aca="false">G14+G26</f>
        <v>285067.271275</v>
      </c>
      <c r="H27" s="27" t="n">
        <f aca="false">H14+H26</f>
        <v>333516.727909</v>
      </c>
      <c r="I27" s="27" t="n">
        <f aca="false">I14+I26</f>
        <v>389348.361440936</v>
      </c>
      <c r="J27" s="27" t="n">
        <f aca="false">J14+J26</f>
        <v>440949.914374825</v>
      </c>
      <c r="K27" s="27" t="n">
        <f aca="false">K14+K26</f>
        <v>494927.406586214</v>
      </c>
    </row>
    <row r="28" customFormat="false" ht="15" hidden="false" customHeight="true" outlineLevel="0" collapsed="false">
      <c r="A28" s="28" t="s">
        <v>155</v>
      </c>
      <c r="B28" s="29" t="s">
        <v>75</v>
      </c>
      <c r="C28" s="30" t="n">
        <f aca="false">C27/B27-1</f>
        <v>0.20041686895115</v>
      </c>
      <c r="D28" s="30" t="n">
        <f aca="false">D27/C27-1</f>
        <v>0.114321893686539</v>
      </c>
      <c r="E28" s="30" t="n">
        <f aca="false">E27/D27-1</f>
        <v>0.0600557080924318</v>
      </c>
      <c r="F28" s="30" t="n">
        <f aca="false">F27/E27-1</f>
        <v>0.117662699155065</v>
      </c>
      <c r="G28" s="30" t="n">
        <f aca="false">G27/F27-1</f>
        <v>0.112109674105345</v>
      </c>
      <c r="H28" s="30" t="n">
        <f aca="false">H27/G27-1</f>
        <v>0.169957976646367</v>
      </c>
      <c r="I28" s="30" t="n">
        <f aca="false">I27/H27-1</f>
        <v>0.167402798300327</v>
      </c>
      <c r="J28" s="30" t="n">
        <f aca="false">J27/I27-1</f>
        <v>0.132533119551134</v>
      </c>
      <c r="K28" s="30" t="n">
        <f aca="false">K27/J27-1</f>
        <v>0.122411844183977</v>
      </c>
    </row>
    <row r="30" customFormat="false" ht="16.5" hidden="false" customHeight="true" outlineLevel="0" collapsed="false">
      <c r="A30" s="18" t="s">
        <v>156</v>
      </c>
      <c r="B30" s="18"/>
      <c r="C30" s="18"/>
      <c r="D30" s="18"/>
      <c r="E30" s="18"/>
      <c r="F30" s="18"/>
      <c r="G30" s="18"/>
      <c r="H30" s="18"/>
      <c r="I30" s="18"/>
      <c r="J30" s="18"/>
      <c r="K30" s="18"/>
    </row>
    <row r="31" customFormat="false" ht="15" hidden="false" customHeight="true" outlineLevel="0" collapsed="false">
      <c r="A31" s="24" t="s">
        <v>157</v>
      </c>
      <c r="B31" s="22" t="n">
        <v>58500</v>
      </c>
      <c r="C31" s="22" t="n">
        <v>62700</v>
      </c>
      <c r="D31" s="22" t="n">
        <v>78200</v>
      </c>
      <c r="E31" s="22" t="n">
        <v>72300</v>
      </c>
      <c r="F31" s="22" t="n">
        <v>79600</v>
      </c>
      <c r="G31" s="25" t="n">
        <f aca="false">F31*(1+Assumptions!G29)</f>
        <v>85968</v>
      </c>
      <c r="H31" s="25" t="n">
        <f aca="false">G31*(1+Assumptions!H29)</f>
        <v>92845.44</v>
      </c>
      <c r="I31" s="25" t="n">
        <f aca="false">H31*(1+Assumptions!I29)</f>
        <v>100273.0752</v>
      </c>
      <c r="J31" s="25" t="n">
        <f aca="false">I31*(1+Assumptions!J29)</f>
        <v>108294.921216</v>
      </c>
      <c r="K31" s="25" t="n">
        <f aca="false">J31*(1+Assumptions!K29)</f>
        <v>116958.51491328</v>
      </c>
    </row>
    <row r="32" customFormat="false" ht="15" hidden="false" customHeight="true" outlineLevel="0" collapsed="false">
      <c r="A32" s="24" t="s">
        <v>158</v>
      </c>
      <c r="B32" s="22" t="n">
        <v>5200</v>
      </c>
      <c r="C32" s="22" t="n">
        <v>5700</v>
      </c>
      <c r="D32" s="22" t="n">
        <v>6300</v>
      </c>
      <c r="E32" s="22" t="n">
        <v>7000</v>
      </c>
      <c r="F32" s="22" t="n">
        <v>7700</v>
      </c>
      <c r="G32" s="25" t="n">
        <f aca="false">F32*(1+Assumptions!G30)</f>
        <v>8547</v>
      </c>
      <c r="H32" s="25" t="n">
        <f aca="false">G32*(1+Assumptions!H30)</f>
        <v>9487.17</v>
      </c>
      <c r="I32" s="25" t="n">
        <f aca="false">H32*(1+Assumptions!I30)</f>
        <v>10530.7587</v>
      </c>
      <c r="J32" s="25" t="n">
        <f aca="false">I32*(1+Assumptions!J30)</f>
        <v>11583.83457</v>
      </c>
      <c r="K32" s="25" t="n">
        <f aca="false">J32*(1+Assumptions!K30)</f>
        <v>12742.218027</v>
      </c>
    </row>
    <row r="33" customFormat="false" ht="15" hidden="false" customHeight="true" outlineLevel="0" collapsed="false">
      <c r="A33" s="24" t="s">
        <v>159</v>
      </c>
      <c r="B33" s="22" t="n">
        <v>3600</v>
      </c>
      <c r="C33" s="22" t="n">
        <v>3900</v>
      </c>
      <c r="D33" s="22" t="n">
        <v>4300</v>
      </c>
      <c r="E33" s="22" t="n">
        <v>4700</v>
      </c>
      <c r="F33" s="22" t="n">
        <v>5100</v>
      </c>
      <c r="G33" s="25" t="n">
        <f aca="false">F33*(1+Assumptions!G30)</f>
        <v>5661</v>
      </c>
      <c r="H33" s="25" t="n">
        <f aca="false">G33*(1+Assumptions!H30)</f>
        <v>6283.71</v>
      </c>
      <c r="I33" s="25" t="n">
        <f aca="false">H33*(1+Assumptions!I30)</f>
        <v>6974.9181</v>
      </c>
      <c r="J33" s="25" t="n">
        <f aca="false">I33*(1+Assumptions!J30)</f>
        <v>7672.40991</v>
      </c>
      <c r="K33" s="25" t="n">
        <f aca="false">J33*(1+Assumptions!K30)</f>
        <v>8439.65090100001</v>
      </c>
    </row>
    <row r="34" customFormat="false" ht="15" hidden="false" customHeight="true" outlineLevel="0" collapsed="false">
      <c r="A34" s="24" t="s">
        <v>160</v>
      </c>
      <c r="B34" s="22" t="n">
        <v>7800</v>
      </c>
      <c r="C34" s="22" t="n">
        <v>8300</v>
      </c>
      <c r="D34" s="22" t="n">
        <v>9100</v>
      </c>
      <c r="E34" s="22" t="n">
        <v>9900</v>
      </c>
      <c r="F34" s="22" t="n">
        <v>10700</v>
      </c>
      <c r="G34" s="25" t="n">
        <f aca="false">F34*(1+Assumptions!G30)</f>
        <v>11877</v>
      </c>
      <c r="H34" s="25" t="n">
        <f aca="false">G34*(1+Assumptions!H30)</f>
        <v>13183.47</v>
      </c>
      <c r="I34" s="25" t="n">
        <f aca="false">H34*(1+Assumptions!I30)</f>
        <v>14633.6517</v>
      </c>
      <c r="J34" s="25" t="n">
        <f aca="false">I34*(1+Assumptions!J30)</f>
        <v>16097.01687</v>
      </c>
      <c r="K34" s="25" t="n">
        <f aca="false">J34*(1+Assumptions!K30)</f>
        <v>17706.718557</v>
      </c>
    </row>
    <row r="35" customFormat="false" ht="15" hidden="false" customHeight="true" outlineLevel="0" collapsed="false">
      <c r="A35" s="24" t="s">
        <v>161</v>
      </c>
      <c r="B35" s="22" t="n">
        <v>16018</v>
      </c>
      <c r="C35" s="22" t="n">
        <v>30655</v>
      </c>
      <c r="D35" s="22" t="n">
        <v>20946</v>
      </c>
      <c r="E35" s="22" t="n">
        <v>26813</v>
      </c>
      <c r="F35" s="22" t="n">
        <v>31223</v>
      </c>
      <c r="G35" s="25" t="n">
        <f aca="false">F35*(1+Assumptions!G30)</f>
        <v>34657.53</v>
      </c>
      <c r="H35" s="25" t="n">
        <f aca="false">G35*(1+Assumptions!H30)</f>
        <v>38469.8583</v>
      </c>
      <c r="I35" s="25" t="n">
        <f aca="false">H35*(1+Assumptions!I30)</f>
        <v>42701.542713</v>
      </c>
      <c r="J35" s="25" t="n">
        <f aca="false">I35*(1+Assumptions!J30)</f>
        <v>46971.6969843</v>
      </c>
      <c r="K35" s="25" t="n">
        <f aca="false">J35*(1+Assumptions!K30)</f>
        <v>51668.86668273</v>
      </c>
    </row>
    <row r="36" customFormat="false" ht="15" hidden="false" customHeight="true" outlineLevel="0" collapsed="false">
      <c r="A36" s="26" t="s">
        <v>162</v>
      </c>
      <c r="B36" s="27" t="n">
        <f aca="false">B31+B32+B33+B34+B35</f>
        <v>91118</v>
      </c>
      <c r="C36" s="27" t="n">
        <f aca="false">C31+C32+C33+C34+C35</f>
        <v>111255</v>
      </c>
      <c r="D36" s="27" t="n">
        <f aca="false">D31+D32+D33+D34+D35</f>
        <v>118846</v>
      </c>
      <c r="E36" s="27" t="n">
        <f aca="false">E31+E32+E33+E34+E35</f>
        <v>120713</v>
      </c>
      <c r="F36" s="27" t="n">
        <f aca="false">F31+F32+F33+F34+F35</f>
        <v>134323</v>
      </c>
      <c r="G36" s="27" t="n">
        <f aca="false">G31+G32+G33+G34+G35</f>
        <v>146710.53</v>
      </c>
      <c r="H36" s="27" t="n">
        <f aca="false">H31+H32+H33+H34+H35</f>
        <v>160269.6483</v>
      </c>
      <c r="I36" s="27" t="n">
        <f aca="false">I31+I32+I33+I34+I35</f>
        <v>175113.946413</v>
      </c>
      <c r="J36" s="27" t="n">
        <f aca="false">J31+J32+J33+J34+J35</f>
        <v>190619.8795503</v>
      </c>
      <c r="K36" s="27" t="n">
        <f aca="false">K31+K32+K33+K34+K35</f>
        <v>207515.96908101</v>
      </c>
    </row>
    <row r="37" customFormat="false" ht="15" hidden="false" customHeight="true" outlineLevel="0" collapsed="false">
      <c r="A37" s="28" t="s">
        <v>163</v>
      </c>
      <c r="B37" s="30" t="n">
        <f aca="false">B36/B27</f>
        <v>0.563360817313521</v>
      </c>
      <c r="C37" s="30" t="n">
        <f aca="false">C36/C27</f>
        <v>0.573020167806758</v>
      </c>
      <c r="D37" s="30" t="n">
        <f aca="false">D36/D27</f>
        <v>0.549318562987335</v>
      </c>
      <c r="E37" s="30" t="n">
        <f aca="false">E36/E27</f>
        <v>0.526338405382515</v>
      </c>
      <c r="F37" s="30" t="n">
        <f aca="false">F36/F27</f>
        <v>0.524023354511104</v>
      </c>
      <c r="G37" s="30" t="n">
        <f aca="false">G36/G27</f>
        <v>0.514652311167881</v>
      </c>
      <c r="H37" s="30" t="n">
        <f aca="false">H36/H27</f>
        <v>0.480544557104583</v>
      </c>
      <c r="I37" s="30" t="n">
        <f aca="false">I36/I27</f>
        <v>0.449761611336754</v>
      </c>
      <c r="J37" s="30" t="n">
        <f aca="false">J36/J27</f>
        <v>0.432293721658976</v>
      </c>
      <c r="K37" s="30" t="n">
        <f aca="false">K36/K27</f>
        <v>0.419285669614381</v>
      </c>
    </row>
    <row r="38" customFormat="false" ht="15" hidden="false" customHeight="true" outlineLevel="0" collapsed="false">
      <c r="A38" s="26" t="s">
        <v>164</v>
      </c>
      <c r="B38" s="27" t="n">
        <f aca="false">B27-B36</f>
        <v>70622.038</v>
      </c>
      <c r="C38" s="27" t="n">
        <f aca="false">C27-C36</f>
        <v>82900.47</v>
      </c>
      <c r="D38" s="27" t="n">
        <f aca="false">D27-D36</f>
        <v>97505.691</v>
      </c>
      <c r="E38" s="27" t="n">
        <f aca="false">E27-E36</f>
        <v>108631.845</v>
      </c>
      <c r="F38" s="27" t="n">
        <f aca="false">F27-F36</f>
        <v>122007.1785</v>
      </c>
      <c r="G38" s="27" t="n">
        <f aca="false">G27-G36</f>
        <v>138356.741275</v>
      </c>
      <c r="H38" s="27" t="n">
        <f aca="false">H27-H36</f>
        <v>173247.079609</v>
      </c>
      <c r="I38" s="27" t="n">
        <f aca="false">I27-I36</f>
        <v>214234.415027936</v>
      </c>
      <c r="J38" s="27" t="n">
        <f aca="false">J27-J36</f>
        <v>250330.034824525</v>
      </c>
      <c r="K38" s="27" t="n">
        <f aca="false">K27-K36</f>
        <v>287411.437505204</v>
      </c>
    </row>
    <row r="39" customFormat="false" ht="15" hidden="false" customHeight="true" outlineLevel="0" collapsed="false">
      <c r="A39" s="28" t="s">
        <v>165</v>
      </c>
      <c r="B39" s="30" t="n">
        <f aca="false">B38/B27</f>
        <v>0.436639182686479</v>
      </c>
      <c r="C39" s="30" t="n">
        <f aca="false">C38/C27</f>
        <v>0.426979832193242</v>
      </c>
      <c r="D39" s="30" t="n">
        <f aca="false">D38/D27</f>
        <v>0.450681437012665</v>
      </c>
      <c r="E39" s="30" t="n">
        <f aca="false">E38/E27</f>
        <v>0.473661594617485</v>
      </c>
      <c r="F39" s="30" t="n">
        <f aca="false">F38/F27</f>
        <v>0.475976645488896</v>
      </c>
      <c r="G39" s="30" t="n">
        <f aca="false">G38/G27</f>
        <v>0.485347688832119</v>
      </c>
      <c r="H39" s="30" t="n">
        <f aca="false">H38/H27</f>
        <v>0.519455442895418</v>
      </c>
      <c r="I39" s="30" t="n">
        <f aca="false">I38/I27</f>
        <v>0.550238388663246</v>
      </c>
      <c r="J39" s="30" t="n">
        <f aca="false">J38/J27</f>
        <v>0.567706278341024</v>
      </c>
      <c r="K39" s="30" t="n">
        <f aca="false">K38/K27</f>
        <v>0.580714330385619</v>
      </c>
    </row>
    <row r="41" customFormat="false" ht="16.5" hidden="false" customHeight="true" outlineLevel="0" collapsed="false">
      <c r="A41" s="18" t="s">
        <v>166</v>
      </c>
      <c r="B41" s="18"/>
      <c r="C41" s="18"/>
      <c r="D41" s="18"/>
      <c r="E41" s="18"/>
      <c r="F41" s="18"/>
      <c r="G41" s="18"/>
      <c r="H41" s="18"/>
      <c r="I41" s="18"/>
      <c r="J41" s="18"/>
      <c r="K41" s="18"/>
    </row>
    <row r="42" customFormat="false" ht="15" hidden="false" customHeight="true" outlineLevel="0" collapsed="false">
      <c r="A42" s="24" t="s">
        <v>167</v>
      </c>
      <c r="B42" s="22" t="n">
        <v>19200</v>
      </c>
      <c r="C42" s="22" t="n">
        <v>15100</v>
      </c>
      <c r="D42" s="22" t="n">
        <v>12200</v>
      </c>
      <c r="E42" s="22" t="n">
        <v>10800</v>
      </c>
      <c r="F42" s="22" t="n">
        <v>11200</v>
      </c>
      <c r="G42" s="25" t="n">
        <f aca="false">'Revenue Model'!G28*Assumptions!G33</f>
        <v>23695.44849</v>
      </c>
      <c r="H42" s="25" t="n">
        <f aca="false">'Revenue Model'!H28*Assumptions!H33</f>
        <v>26945.28113592</v>
      </c>
      <c r="I42" s="25" t="n">
        <f aca="false">'Revenue Model'!I28*Assumptions!I33</f>
        <v>32672.094875487</v>
      </c>
      <c r="J42" s="25" t="n">
        <f aca="false">'Revenue Model'!J28*Assumptions!J33</f>
        <v>36850.9570538576</v>
      </c>
      <c r="K42" s="25" t="n">
        <f aca="false">'Revenue Model'!K28*Assumptions!K33</f>
        <v>41397.8890141126</v>
      </c>
    </row>
    <row r="43" customFormat="false" ht="15" hidden="false" customHeight="true" outlineLevel="0" collapsed="false">
      <c r="A43" s="24" t="s">
        <v>168</v>
      </c>
      <c r="B43" s="22" t="n">
        <v>1400</v>
      </c>
      <c r="C43" s="22" t="n">
        <v>1100</v>
      </c>
      <c r="D43" s="22" t="n">
        <v>900</v>
      </c>
      <c r="E43" s="22" t="n">
        <v>700</v>
      </c>
      <c r="F43" s="22" t="n">
        <v>800</v>
      </c>
      <c r="G43" s="25" t="n">
        <f aca="false">F43*(1+Assumptions!G30)</f>
        <v>888</v>
      </c>
      <c r="H43" s="25" t="n">
        <f aca="false">G43*(1+Assumptions!H30)</f>
        <v>985.68</v>
      </c>
      <c r="I43" s="25" t="n">
        <f aca="false">H43*(1+Assumptions!I30)</f>
        <v>1094.1048</v>
      </c>
      <c r="J43" s="25" t="n">
        <f aca="false">I43*(1+Assumptions!J30)</f>
        <v>1203.51528</v>
      </c>
      <c r="K43" s="25" t="n">
        <f aca="false">J43*(1+Assumptions!K30)</f>
        <v>1323.866808</v>
      </c>
    </row>
    <row r="44" customFormat="false" ht="15" hidden="false" customHeight="true" outlineLevel="0" collapsed="false">
      <c r="A44" s="24" t="s">
        <v>169</v>
      </c>
      <c r="B44" s="22" t="n">
        <v>2600</v>
      </c>
      <c r="C44" s="22" t="n">
        <v>-1800</v>
      </c>
      <c r="D44" s="22" t="n">
        <v>1200</v>
      </c>
      <c r="E44" s="22" t="n">
        <v>600</v>
      </c>
      <c r="F44" s="22" t="n">
        <v>900</v>
      </c>
      <c r="G44" s="32" t="n">
        <f aca="false">F44*1.05</f>
        <v>945</v>
      </c>
      <c r="H44" s="32" t="n">
        <f aca="false">G44*1.05</f>
        <v>992.25</v>
      </c>
      <c r="I44" s="32" t="n">
        <f aca="false">H44*1.05</f>
        <v>1041.8625</v>
      </c>
      <c r="J44" s="32" t="n">
        <f aca="false">I44*1.05</f>
        <v>1093.955625</v>
      </c>
      <c r="K44" s="32" t="n">
        <f aca="false">J44*1.05</f>
        <v>1148.65340625</v>
      </c>
    </row>
    <row r="45" customFormat="false" ht="15" hidden="false" customHeight="true" outlineLevel="0" collapsed="false">
      <c r="A45" s="24" t="s">
        <v>170</v>
      </c>
      <c r="B45" s="22" t="n">
        <v>900</v>
      </c>
      <c r="C45" s="22" t="n">
        <v>1300</v>
      </c>
      <c r="D45" s="22" t="n">
        <v>1500</v>
      </c>
      <c r="E45" s="22" t="n">
        <v>1800</v>
      </c>
      <c r="F45" s="22" t="n">
        <v>2100</v>
      </c>
      <c r="G45" s="25" t="n">
        <f aca="false">F45*(1+Assumptions!G30)</f>
        <v>2331</v>
      </c>
      <c r="H45" s="25" t="n">
        <f aca="false">G45*(1+Assumptions!H30)</f>
        <v>2587.41</v>
      </c>
      <c r="I45" s="25" t="n">
        <f aca="false">H45*(1+Assumptions!I30)</f>
        <v>2872.0251</v>
      </c>
      <c r="J45" s="25" t="n">
        <f aca="false">I45*(1+Assumptions!J30)</f>
        <v>3159.22761</v>
      </c>
      <c r="K45" s="25" t="n">
        <f aca="false">J45*(1+Assumptions!K30)</f>
        <v>3475.150371</v>
      </c>
    </row>
    <row r="46" customFormat="false" ht="15" hidden="false" customHeight="true" outlineLevel="0" collapsed="false">
      <c r="A46" s="26" t="s">
        <v>171</v>
      </c>
      <c r="B46" s="27" t="n">
        <f aca="false">B42+B43+B44+B45</f>
        <v>24100</v>
      </c>
      <c r="C46" s="27" t="n">
        <f aca="false">C42+C43+C44+C45</f>
        <v>15700</v>
      </c>
      <c r="D46" s="27" t="n">
        <f aca="false">D42+D43+D44+D45</f>
        <v>15800</v>
      </c>
      <c r="E46" s="27" t="n">
        <f aca="false">E42+E43+E44+E45</f>
        <v>13900</v>
      </c>
      <c r="F46" s="27" t="n">
        <f aca="false">F42+F43+F44+F45</f>
        <v>15000</v>
      </c>
      <c r="G46" s="27" t="n">
        <f aca="false">G42+G43+G44+G45</f>
        <v>27859.44849</v>
      </c>
      <c r="H46" s="27" t="n">
        <f aca="false">H42+H43+H44+H45</f>
        <v>31510.62113592</v>
      </c>
      <c r="I46" s="27" t="n">
        <f aca="false">I42+I43+I44+I45</f>
        <v>37680.087275487</v>
      </c>
      <c r="J46" s="27" t="n">
        <f aca="false">J42+J43+J44+J45</f>
        <v>42307.6555688576</v>
      </c>
      <c r="K46" s="27" t="n">
        <f aca="false">K42+K43+K44+K45</f>
        <v>47345.5595993626</v>
      </c>
    </row>
    <row r="47" customFormat="false" ht="15" hidden="false" customHeight="true" outlineLevel="0" collapsed="false">
      <c r="A47" s="28" t="s">
        <v>172</v>
      </c>
      <c r="B47" s="31" t="n">
        <f aca="false">B42/'Revenue Model'!B28</f>
        <v>0.00682713758744603</v>
      </c>
      <c r="C47" s="31" t="n">
        <f aca="false">C42/'Revenue Model'!C28</f>
        <v>0.00462070442792007</v>
      </c>
      <c r="D47" s="31" t="n">
        <f aca="false">D42/'Revenue Model'!D28</f>
        <v>0.0032238714468048</v>
      </c>
      <c r="E47" s="31" t="n">
        <f aca="false">E42/'Revenue Model'!E28</f>
        <v>0.00255863539445629</v>
      </c>
      <c r="F47" s="31" t="n">
        <f aca="false">F42/'Revenue Model'!F28</f>
        <v>0.00227088402270884</v>
      </c>
      <c r="G47" s="31" t="n">
        <f aca="false">G42/'Revenue Model'!G28</f>
        <v>0.0042</v>
      </c>
      <c r="H47" s="31" t="n">
        <f aca="false">H42/'Revenue Model'!H28</f>
        <v>0.0042</v>
      </c>
      <c r="I47" s="31" t="n">
        <f aca="false">I42/'Revenue Model'!I28</f>
        <v>0.0045</v>
      </c>
      <c r="J47" s="31" t="n">
        <f aca="false">J42/'Revenue Model'!J28</f>
        <v>0.0045</v>
      </c>
      <c r="K47" s="31" t="n">
        <f aca="false">K42/'Revenue Model'!K28</f>
        <v>0.0045</v>
      </c>
    </row>
    <row r="48" customFormat="false" ht="15" hidden="false" customHeight="true" outlineLevel="0" collapsed="false">
      <c r="A48" s="26" t="s">
        <v>173</v>
      </c>
      <c r="B48" s="27" t="n">
        <f aca="false">B38-B46</f>
        <v>46522.038</v>
      </c>
      <c r="C48" s="27" t="n">
        <f aca="false">C38-C46</f>
        <v>67200.47</v>
      </c>
      <c r="D48" s="27" t="n">
        <f aca="false">D38-D46</f>
        <v>81705.691</v>
      </c>
      <c r="E48" s="27" t="n">
        <f aca="false">E38-E46</f>
        <v>94731.845</v>
      </c>
      <c r="F48" s="27" t="n">
        <f aca="false">F38-F46</f>
        <v>107007.1785</v>
      </c>
      <c r="G48" s="27" t="n">
        <f aca="false">G38-G46</f>
        <v>110497.292785</v>
      </c>
      <c r="H48" s="27" t="n">
        <f aca="false">H38-H46</f>
        <v>141736.45847308</v>
      </c>
      <c r="I48" s="27" t="n">
        <f aca="false">I38-I46</f>
        <v>176554.327752449</v>
      </c>
      <c r="J48" s="27" t="n">
        <f aca="false">J38-J46</f>
        <v>208022.379255668</v>
      </c>
      <c r="K48" s="27" t="n">
        <f aca="false">K38-K46</f>
        <v>240065.877905842</v>
      </c>
    </row>
    <row r="49" customFormat="false" ht="15" hidden="false" customHeight="true" outlineLevel="0" collapsed="false">
      <c r="A49" s="24" t="s">
        <v>174</v>
      </c>
      <c r="B49" s="25" t="n">
        <f aca="false">B48*Assumptions!B40</f>
        <v>14887.05216</v>
      </c>
      <c r="C49" s="25" t="n">
        <f aca="false">C48*Assumptions!C40</f>
        <v>17001.71891</v>
      </c>
      <c r="D49" s="25" t="n">
        <f aca="false">D48*Assumptions!D40</f>
        <v>20589.834132</v>
      </c>
      <c r="E49" s="25" t="n">
        <f aca="false">E48*Assumptions!E40</f>
        <v>23872.42494</v>
      </c>
      <c r="F49" s="25" t="n">
        <f aca="false">F48*Assumptions!F40</f>
        <v>26965.808982</v>
      </c>
      <c r="G49" s="25" t="n">
        <f aca="false">G48*Assumptions!G40</f>
        <v>27845.31778182</v>
      </c>
      <c r="H49" s="25" t="n">
        <f aca="false">H48*Assumptions!H40</f>
        <v>35717.5875352162</v>
      </c>
      <c r="I49" s="25" t="n">
        <f aca="false">I48*Assumptions!I40</f>
        <v>44491.690593617</v>
      </c>
      <c r="J49" s="25" t="n">
        <f aca="false">J48*Assumptions!J40</f>
        <v>52421.6395724283</v>
      </c>
      <c r="K49" s="25" t="n">
        <f aca="false">K48*Assumptions!K40</f>
        <v>60496.6012322721</v>
      </c>
    </row>
    <row r="50" customFormat="false" ht="15" hidden="false" customHeight="true" outlineLevel="0" collapsed="false">
      <c r="A50" s="28" t="s">
        <v>63</v>
      </c>
      <c r="B50" s="36" t="n">
        <f aca="false">Assumptions!B40</f>
        <v>0.32</v>
      </c>
      <c r="C50" s="36" t="n">
        <f aca="false">Assumptions!C40</f>
        <v>0.253</v>
      </c>
      <c r="D50" s="36" t="n">
        <f aca="false">Assumptions!D40</f>
        <v>0.252</v>
      </c>
      <c r="E50" s="36" t="n">
        <f aca="false">Assumptions!E40</f>
        <v>0.252</v>
      </c>
      <c r="F50" s="36" t="n">
        <f aca="false">Assumptions!F40</f>
        <v>0.252</v>
      </c>
      <c r="G50" s="36" t="n">
        <f aca="false">Assumptions!G40</f>
        <v>0.252</v>
      </c>
      <c r="H50" s="36" t="n">
        <f aca="false">Assumptions!H40</f>
        <v>0.252</v>
      </c>
      <c r="I50" s="36" t="n">
        <f aca="false">Assumptions!I40</f>
        <v>0.252</v>
      </c>
      <c r="J50" s="36" t="n">
        <f aca="false">Assumptions!J40</f>
        <v>0.252</v>
      </c>
      <c r="K50" s="36" t="n">
        <f aca="false">Assumptions!K40</f>
        <v>0.252</v>
      </c>
    </row>
    <row r="51" customFormat="false" ht="15" hidden="false" customHeight="true" outlineLevel="0" collapsed="false">
      <c r="A51" s="26" t="s">
        <v>175</v>
      </c>
      <c r="B51" s="27" t="n">
        <f aca="false">B48-B49</f>
        <v>31634.98584</v>
      </c>
      <c r="C51" s="27" t="n">
        <f aca="false">C48-C49</f>
        <v>50198.75109</v>
      </c>
      <c r="D51" s="27" t="n">
        <f aca="false">D48-D49</f>
        <v>61115.856868</v>
      </c>
      <c r="E51" s="27" t="n">
        <f aca="false">E48-E49</f>
        <v>70859.42006</v>
      </c>
      <c r="F51" s="27" t="n">
        <f aca="false">F48-F49</f>
        <v>80041.369518</v>
      </c>
      <c r="G51" s="27" t="n">
        <f aca="false">G48-G49</f>
        <v>82651.97500318</v>
      </c>
      <c r="H51" s="27" t="n">
        <f aca="false">H48-H49</f>
        <v>106018.870937864</v>
      </c>
      <c r="I51" s="27" t="n">
        <f aca="false">I48-I49</f>
        <v>132062.637158831</v>
      </c>
      <c r="J51" s="27" t="n">
        <f aca="false">J48-J49</f>
        <v>155600.739683239</v>
      </c>
      <c r="K51" s="27" t="n">
        <f aca="false">K48-K49</f>
        <v>179569.27667357</v>
      </c>
    </row>
    <row r="52" customFormat="false" ht="15" hidden="false" customHeight="true" outlineLevel="0" collapsed="false">
      <c r="A52" s="28" t="s">
        <v>176</v>
      </c>
      <c r="B52" s="29" t="s">
        <v>75</v>
      </c>
      <c r="C52" s="30" t="n">
        <f aca="false">C51/B51-1</f>
        <v>0.586811239426178</v>
      </c>
      <c r="D52" s="30" t="n">
        <f aca="false">D51/C51-1</f>
        <v>0.217477637211074</v>
      </c>
      <c r="E52" s="30" t="n">
        <f aca="false">E51/D51-1</f>
        <v>0.159427744145753</v>
      </c>
      <c r="F52" s="30" t="n">
        <f aca="false">F51/E51-1</f>
        <v>0.129579799696713</v>
      </c>
      <c r="G52" s="30" t="n">
        <f aca="false">G51/F51-1</f>
        <v>0.0326157023661728</v>
      </c>
      <c r="H52" s="30" t="n">
        <f aca="false">H51/G51-1</f>
        <v>0.282714308203584</v>
      </c>
      <c r="I52" s="30" t="n">
        <f aca="false">I51/H51-1</f>
        <v>0.245652174849433</v>
      </c>
      <c r="J52" s="30" t="n">
        <f aca="false">J51/I51-1</f>
        <v>0.17823438203872</v>
      </c>
      <c r="K52" s="30" t="n">
        <f aca="false">K51/J51-1</f>
        <v>0.154038708550637</v>
      </c>
    </row>
    <row r="53" customFormat="false" ht="15" hidden="false" customHeight="true" outlineLevel="0" collapsed="false">
      <c r="A53" s="28" t="s">
        <v>177</v>
      </c>
      <c r="B53" s="30" t="n">
        <f aca="false">B51/B27</f>
        <v>0.195591556866087</v>
      </c>
      <c r="C53" s="30" t="n">
        <f aca="false">C51/C27</f>
        <v>0.258549249681196</v>
      </c>
      <c r="D53" s="30" t="n">
        <f aca="false">D51/D27</f>
        <v>0.282483841866528</v>
      </c>
      <c r="E53" s="30" t="n">
        <f aca="false">E51/E27</f>
        <v>0.308964520480066</v>
      </c>
      <c r="F53" s="30" t="n">
        <f aca="false">F51/F27</f>
        <v>0.312258860764613</v>
      </c>
      <c r="G53" s="30" t="n">
        <f aca="false">G51/G27</f>
        <v>0.289938492881026</v>
      </c>
      <c r="H53" s="30" t="n">
        <f aca="false">H51/H27</f>
        <v>0.317881719464432</v>
      </c>
      <c r="I53" s="30" t="n">
        <f aca="false">I51/I27</f>
        <v>0.339188886451409</v>
      </c>
      <c r="J53" s="30" t="n">
        <f aca="false">J51/J27</f>
        <v>0.352876221563278</v>
      </c>
      <c r="K53" s="30" t="n">
        <f aca="false">K51/K27</f>
        <v>0.362819424190221</v>
      </c>
    </row>
    <row r="55" customFormat="false" ht="16.5" hidden="false" customHeight="true" outlineLevel="0" collapsed="false">
      <c r="A55" s="18" t="s">
        <v>178</v>
      </c>
      <c r="B55" s="18"/>
      <c r="C55" s="18"/>
      <c r="D55" s="18"/>
      <c r="E55" s="18"/>
      <c r="F55" s="18"/>
      <c r="G55" s="18"/>
      <c r="H55" s="18"/>
      <c r="I55" s="18"/>
      <c r="J55" s="18"/>
      <c r="K55" s="18"/>
    </row>
    <row r="56" customFormat="false" ht="15" hidden="false" customHeight="true" outlineLevel="0" collapsed="false">
      <c r="A56" s="24" t="s">
        <v>179</v>
      </c>
      <c r="B56" s="37" t="n">
        <v>892.46</v>
      </c>
      <c r="C56" s="37" t="n">
        <v>892.46</v>
      </c>
      <c r="D56" s="37" t="n">
        <v>892.46</v>
      </c>
      <c r="E56" s="37" t="n">
        <v>892.46</v>
      </c>
      <c r="F56" s="37" t="n">
        <v>909.2</v>
      </c>
      <c r="G56" s="38" t="n">
        <f aca="false">F56*(1+Assumptions!G42)</f>
        <v>909.2</v>
      </c>
      <c r="H56" s="38" t="n">
        <f aca="false">G56*(1+Assumptions!H42)</f>
        <v>909.2</v>
      </c>
      <c r="I56" s="38" t="n">
        <f aca="false">H56*(1+Assumptions!I42)</f>
        <v>909.2</v>
      </c>
      <c r="J56" s="38" t="n">
        <f aca="false">I56*(1+Assumptions!J42)</f>
        <v>909.2</v>
      </c>
      <c r="K56" s="38" t="n">
        <f aca="false">J56*(1+Assumptions!K42)</f>
        <v>909.2</v>
      </c>
    </row>
    <row r="57" customFormat="false" ht="15" hidden="false" customHeight="true" outlineLevel="0" collapsed="false">
      <c r="A57" s="24" t="s">
        <v>180</v>
      </c>
      <c r="B57" s="39" t="n">
        <f aca="false">B56*1.001</f>
        <v>893.35246</v>
      </c>
      <c r="C57" s="39" t="n">
        <f aca="false">C56*1.001</f>
        <v>893.35246</v>
      </c>
      <c r="D57" s="39" t="n">
        <f aca="false">D56*1.001</f>
        <v>893.35246</v>
      </c>
      <c r="E57" s="39" t="n">
        <f aca="false">E56*1.001</f>
        <v>893.35246</v>
      </c>
      <c r="F57" s="39" t="n">
        <f aca="false">F56*1.001</f>
        <v>910.1092</v>
      </c>
      <c r="G57" s="39" t="n">
        <f aca="false">G56*1.001</f>
        <v>910.1092</v>
      </c>
      <c r="H57" s="39" t="n">
        <f aca="false">H56*1.001</f>
        <v>910.1092</v>
      </c>
      <c r="I57" s="39" t="n">
        <f aca="false">I56*1.001</f>
        <v>910.1092</v>
      </c>
      <c r="J57" s="39" t="n">
        <f aca="false">J56*1.001</f>
        <v>910.1092</v>
      </c>
      <c r="K57" s="39" t="n">
        <f aca="false">K56*1.001</f>
        <v>910.1092</v>
      </c>
    </row>
    <row r="58" customFormat="false" ht="15" hidden="false" customHeight="true" outlineLevel="0" collapsed="false">
      <c r="A58" s="40" t="s">
        <v>181</v>
      </c>
      <c r="B58" s="41" t="n">
        <f aca="false">B51/B56</f>
        <v>35.4469509445802</v>
      </c>
      <c r="C58" s="41" t="n">
        <f aca="false">C51/C56</f>
        <v>56.2476201622481</v>
      </c>
      <c r="D58" s="41" t="n">
        <f aca="false">D51/D56</f>
        <v>68.4802196938798</v>
      </c>
      <c r="E58" s="41" t="n">
        <f aca="false">E51/E56</f>
        <v>79.3978666382807</v>
      </c>
      <c r="F58" s="41" t="n">
        <f aca="false">F51/F56</f>
        <v>88.0349422767268</v>
      </c>
      <c r="G58" s="41" t="n">
        <f aca="false">G51/G56</f>
        <v>90.9062637518477</v>
      </c>
      <c r="H58" s="41" t="n">
        <f aca="false">H51/H56</f>
        <v>116.606765219824</v>
      </c>
      <c r="I58" s="41" t="n">
        <f aca="false">I51/I56</f>
        <v>145.251470698231</v>
      </c>
      <c r="J58" s="41" t="n">
        <f aca="false">J51/J56</f>
        <v>171.140276818345</v>
      </c>
      <c r="K58" s="41" t="n">
        <f aca="false">K51/K56</f>
        <v>197.502504040442</v>
      </c>
    </row>
    <row r="59" customFormat="false" ht="15" hidden="false" customHeight="true" outlineLevel="0" collapsed="false">
      <c r="A59" s="24" t="s">
        <v>182</v>
      </c>
      <c r="B59" s="42" t="n">
        <f aca="false">B51/B57</f>
        <v>35.411539405175</v>
      </c>
      <c r="C59" s="42" t="n">
        <f aca="false">C51/C57</f>
        <v>56.1914287335146</v>
      </c>
      <c r="D59" s="42" t="n">
        <f aca="false">D51/D57</f>
        <v>68.4118078859938</v>
      </c>
      <c r="E59" s="42" t="n">
        <f aca="false">E51/E57</f>
        <v>79.3185480901905</v>
      </c>
      <c r="F59" s="42" t="n">
        <f aca="false">F51/F57</f>
        <v>87.9469952814454</v>
      </c>
      <c r="G59" s="42" t="n">
        <f aca="false">G51/G57</f>
        <v>90.8154483035442</v>
      </c>
      <c r="H59" s="42" t="n">
        <f aca="false">H51/H57</f>
        <v>116.490274944879</v>
      </c>
      <c r="I59" s="42" t="n">
        <f aca="false">I51/I57</f>
        <v>145.106364333897</v>
      </c>
      <c r="J59" s="42" t="n">
        <f aca="false">J51/J57</f>
        <v>170.969307510834</v>
      </c>
      <c r="K59" s="42" t="n">
        <f aca="false">K51/K57</f>
        <v>197.3051988416</v>
      </c>
    </row>
    <row r="60" customFormat="false" ht="15" hidden="false" customHeight="true" outlineLevel="0" collapsed="false">
      <c r="A60" s="24" t="s">
        <v>183</v>
      </c>
      <c r="B60" s="43" t="n">
        <v>7.1</v>
      </c>
      <c r="C60" s="43" t="n">
        <v>11.3</v>
      </c>
      <c r="D60" s="43" t="n">
        <v>13.7</v>
      </c>
      <c r="E60" s="43" t="n">
        <v>15.9</v>
      </c>
      <c r="F60" s="43" t="n">
        <v>17.35</v>
      </c>
      <c r="G60" s="44" t="n">
        <f aca="false">G58*Assumptions!G41</f>
        <v>19.5448467066473</v>
      </c>
      <c r="H60" s="44" t="n">
        <f aca="false">H58*Assumptions!H41</f>
        <v>25.0704545222621</v>
      </c>
      <c r="I60" s="44" t="n">
        <f aca="false">I58*Assumptions!I41</f>
        <v>31.2290662001196</v>
      </c>
      <c r="J60" s="44" t="n">
        <f aca="false">J58*Assumptions!J41</f>
        <v>36.7951595159442</v>
      </c>
      <c r="K60" s="44" t="n">
        <f aca="false">K58*Assumptions!K41</f>
        <v>42.4630383686949</v>
      </c>
    </row>
    <row r="61" customFormat="false" ht="15" hidden="false" customHeight="true" outlineLevel="0" collapsed="false">
      <c r="A61" s="28" t="s">
        <v>64</v>
      </c>
      <c r="B61" s="30" t="n">
        <f aca="false">B60*B56/B51</f>
        <v>0.200299315196406</v>
      </c>
      <c r="C61" s="30" t="n">
        <f aca="false">C60*C56/C51</f>
        <v>0.200897388501145</v>
      </c>
      <c r="D61" s="30" t="n">
        <f aca="false">D60*D56/D51</f>
        <v>0.200057769400299</v>
      </c>
      <c r="E61" s="30" t="n">
        <f aca="false">E60*E56/E51</f>
        <v>0.20025726978833</v>
      </c>
      <c r="F61" s="30" t="n">
        <f aca="false">F60*F56/F51</f>
        <v>0.19708083576022</v>
      </c>
      <c r="G61" s="30" t="n">
        <f aca="false">G60*G56/G51</f>
        <v>0.215</v>
      </c>
      <c r="H61" s="30" t="n">
        <f aca="false">H60*H56/H51</f>
        <v>0.215</v>
      </c>
      <c r="I61" s="30" t="n">
        <f aca="false">I60*I56/I51</f>
        <v>0.215</v>
      </c>
      <c r="J61" s="30" t="n">
        <f aca="false">J60*J56/J51</f>
        <v>0.215</v>
      </c>
      <c r="K61" s="30" t="n">
        <f aca="false">K60*K56/K51</f>
        <v>0.215</v>
      </c>
    </row>
    <row r="62" customFormat="false" ht="15" hidden="false" customHeight="true" outlineLevel="0" collapsed="false">
      <c r="A62" s="24" t="s">
        <v>184</v>
      </c>
      <c r="B62" s="20" t="n">
        <v>0.0067</v>
      </c>
      <c r="C62" s="20" t="n">
        <v>0.0096</v>
      </c>
      <c r="D62" s="20" t="n">
        <v>0.0104</v>
      </c>
      <c r="E62" s="20" t="n">
        <v>0.011</v>
      </c>
      <c r="F62" s="20" t="n">
        <v>0.0112</v>
      </c>
      <c r="G62" s="45" t="n">
        <f aca="false">G51/AVERAGE('Balance Sheet'!F46,'Balance Sheet'!G46)</f>
        <v>0.0107530596040468</v>
      </c>
      <c r="H62" s="45" t="n">
        <f aca="false">H51/AVERAGE('Balance Sheet'!G46,'Balance Sheet'!H46)</f>
        <v>0.0123337893151771</v>
      </c>
      <c r="I62" s="45" t="n">
        <f aca="false">I51/AVERAGE('Balance Sheet'!H46,'Balance Sheet'!I46)</f>
        <v>0.0137486124152875</v>
      </c>
      <c r="J62" s="45" t="n">
        <f aca="false">J51/AVERAGE('Balance Sheet'!I46,'Balance Sheet'!J46)</f>
        <v>0.0145162813392407</v>
      </c>
      <c r="K62" s="45" t="n">
        <f aca="false">K51/AVERAGE('Balance Sheet'!J46,'Balance Sheet'!K46)</f>
        <v>0.0150355037115339</v>
      </c>
    </row>
    <row r="63" customFormat="false" ht="15" hidden="false" customHeight="true" outlineLevel="0" collapsed="false">
      <c r="A63" s="24" t="s">
        <v>185</v>
      </c>
      <c r="B63" s="21" t="n">
        <v>0.139</v>
      </c>
      <c r="C63" s="21" t="n">
        <v>0.169</v>
      </c>
      <c r="D63" s="21" t="n">
        <v>0.2032</v>
      </c>
      <c r="E63" s="21" t="n">
        <v>0.1987</v>
      </c>
      <c r="F63" s="21" t="n">
        <v>0.1857</v>
      </c>
      <c r="G63" s="46" t="n">
        <f aca="false">G51/AVERAGE('Balance Sheet'!F8,'Balance Sheet'!G8)</f>
        <v>0.166886648332194</v>
      </c>
      <c r="H63" s="46" t="n">
        <f aca="false">H51/AVERAGE('Balance Sheet'!G8,'Balance Sheet'!H8)</f>
        <v>0.18622522351606</v>
      </c>
      <c r="I63" s="46" t="n">
        <f aca="false">I51/AVERAGE('Balance Sheet'!H8,'Balance Sheet'!I8)</f>
        <v>0.199264165630775</v>
      </c>
      <c r="J63" s="46" t="n">
        <f aca="false">J51/AVERAGE('Balance Sheet'!I8,'Balance Sheet'!J8)</f>
        <v>0.200604456081107</v>
      </c>
      <c r="K63" s="46" t="n">
        <f aca="false">K51/AVERAGE('Balance Sheet'!J8,'Balance Sheet'!K8)</f>
        <v>0.197934932759053</v>
      </c>
    </row>
    <row r="64" customFormat="false" ht="15" hidden="false" customHeight="true" outlineLevel="0" collapsed="false">
      <c r="A64" s="33" t="s">
        <v>186</v>
      </c>
      <c r="B64" s="44" t="n">
        <f aca="false">'Balance Sheet'!B9</f>
        <v>255.344777356968</v>
      </c>
      <c r="C64" s="44" t="n">
        <f aca="false">'Balance Sheet'!C9</f>
        <v>300.292397519217</v>
      </c>
      <c r="D64" s="44" t="n">
        <f aca="false">'Balance Sheet'!D9</f>
        <v>355.072617213096</v>
      </c>
      <c r="E64" s="44" t="n">
        <f aca="false">'Balance Sheet'!E9</f>
        <v>418.570483851377</v>
      </c>
      <c r="F64" s="44" t="n">
        <f aca="false">'Balance Sheet'!F9</f>
        <v>509.045494430268</v>
      </c>
      <c r="G64" s="44" t="n">
        <f aca="false">'Balance Sheet'!G9</f>
        <v>580.39173329685</v>
      </c>
      <c r="H64" s="44" t="n">
        <f aca="false">'Balance Sheet'!H9</f>
        <v>671.928043994412</v>
      </c>
      <c r="I64" s="44" t="n">
        <f aca="false">'Balance Sheet'!I9</f>
        <v>785.950448492523</v>
      </c>
      <c r="J64" s="44" t="n">
        <f aca="false">'Balance Sheet'!J9</f>
        <v>920.295565794924</v>
      </c>
      <c r="K64" s="44" t="n">
        <f aca="false">'Balance Sheet'!K9</f>
        <v>1075.33503146667</v>
      </c>
    </row>
  </sheetData>
  <mergeCells count="8">
    <mergeCell ref="A1:K1"/>
    <mergeCell ref="A2:K2"/>
    <mergeCell ref="A4:K4"/>
    <mergeCell ref="A10:K10"/>
    <mergeCell ref="A18:K18"/>
    <mergeCell ref="A30:K30"/>
    <mergeCell ref="A41:K41"/>
    <mergeCell ref="A55:K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3.5"/>
  </cols>
  <sheetData>
    <row r="1" customFormat="false" ht="25.5" hidden="false" customHeight="true" outlineLevel="0" collapsed="false">
      <c r="A1" s="13" t="s">
        <v>187</v>
      </c>
      <c r="B1" s="13"/>
      <c r="C1" s="13"/>
      <c r="D1" s="13"/>
      <c r="E1" s="13"/>
      <c r="F1" s="13"/>
      <c r="G1" s="13"/>
      <c r="H1" s="13"/>
      <c r="I1" s="13"/>
      <c r="J1" s="13"/>
      <c r="K1" s="13"/>
    </row>
    <row r="2" customFormat="false" ht="15.75" hidden="false" customHeight="true" outlineLevel="0" collapsed="false">
      <c r="A2" s="14" t="s">
        <v>188</v>
      </c>
      <c r="B2" s="14"/>
      <c r="C2" s="14"/>
      <c r="D2" s="14"/>
      <c r="E2" s="14"/>
      <c r="F2" s="14"/>
      <c r="G2" s="14"/>
      <c r="H2" s="14"/>
      <c r="I2" s="14"/>
      <c r="J2" s="14"/>
      <c r="K2" s="14"/>
    </row>
    <row r="3" customFormat="false" ht="18" hidden="false" customHeight="true" outlineLevel="0" collapsed="false">
      <c r="A3" s="15" t="s">
        <v>21</v>
      </c>
      <c r="B3" s="16" t="s">
        <v>22</v>
      </c>
      <c r="C3" s="16" t="s">
        <v>23</v>
      </c>
      <c r="D3" s="16" t="s">
        <v>24</v>
      </c>
      <c r="E3" s="16" t="s">
        <v>25</v>
      </c>
      <c r="F3" s="16" t="s">
        <v>26</v>
      </c>
      <c r="G3" s="17" t="s">
        <v>27</v>
      </c>
      <c r="H3" s="17" t="s">
        <v>28</v>
      </c>
      <c r="I3" s="17" t="s">
        <v>29</v>
      </c>
      <c r="J3" s="17" t="s">
        <v>30</v>
      </c>
      <c r="K3" s="17" t="s">
        <v>31</v>
      </c>
    </row>
    <row r="4" customFormat="false" ht="16.5" hidden="false" customHeight="true" outlineLevel="0" collapsed="false">
      <c r="A4" s="18" t="s">
        <v>189</v>
      </c>
      <c r="B4" s="18"/>
      <c r="C4" s="18"/>
      <c r="D4" s="18"/>
      <c r="E4" s="18"/>
      <c r="F4" s="18"/>
      <c r="G4" s="18"/>
      <c r="H4" s="18"/>
      <c r="I4" s="18"/>
      <c r="J4" s="18"/>
      <c r="K4" s="18"/>
    </row>
    <row r="5" customFormat="false" ht="15" hidden="false" customHeight="true" outlineLevel="0" collapsed="false">
      <c r="A5" s="23" t="s">
        <v>190</v>
      </c>
      <c r="B5" s="23"/>
      <c r="C5" s="23"/>
      <c r="D5" s="23"/>
      <c r="E5" s="23"/>
      <c r="F5" s="23"/>
      <c r="G5" s="23"/>
      <c r="H5" s="23"/>
      <c r="I5" s="23"/>
      <c r="J5" s="23"/>
      <c r="K5" s="23"/>
    </row>
    <row r="6" customFormat="false" ht="15" hidden="false" customHeight="true" outlineLevel="0" collapsed="false">
      <c r="A6" s="24" t="s">
        <v>191</v>
      </c>
      <c r="B6" s="22" t="n">
        <v>892</v>
      </c>
      <c r="C6" s="22" t="n">
        <v>892</v>
      </c>
      <c r="D6" s="22" t="n">
        <v>892</v>
      </c>
      <c r="E6" s="22" t="n">
        <v>892</v>
      </c>
      <c r="F6" s="22" t="n">
        <v>923</v>
      </c>
      <c r="G6" s="25" t="n">
        <f aca="false">'Income Statement'!G56</f>
        <v>909.2</v>
      </c>
      <c r="H6" s="25" t="n">
        <f aca="false">'Income Statement'!H56</f>
        <v>909.2</v>
      </c>
      <c r="I6" s="25" t="n">
        <f aca="false">'Income Statement'!I56</f>
        <v>909.2</v>
      </c>
      <c r="J6" s="25" t="n">
        <f aca="false">'Income Statement'!J56</f>
        <v>909.2</v>
      </c>
      <c r="K6" s="25" t="n">
        <f aca="false">'Income Statement'!K56</f>
        <v>909.2</v>
      </c>
    </row>
    <row r="7" customFormat="false" ht="15" hidden="false" customHeight="true" outlineLevel="0" collapsed="false">
      <c r="A7" s="24" t="s">
        <v>192</v>
      </c>
      <c r="B7" s="22" t="n">
        <v>226993</v>
      </c>
      <c r="C7" s="25" t="n">
        <f aca="false">B7+'Income Statement'!C51-'Income Statement'!C60*'Income Statement'!C56</f>
        <v>267106.95309</v>
      </c>
      <c r="D7" s="25" t="n">
        <f aca="false">C7+'Income Statement'!D51-'Income Statement'!D60*'Income Statement'!D56</f>
        <v>315996.107958</v>
      </c>
      <c r="E7" s="25" t="n">
        <f aca="false">D7+'Income Statement'!E51-'Income Statement'!E60*'Income Statement'!E56</f>
        <v>372665.414018</v>
      </c>
      <c r="F7" s="25" t="n">
        <f aca="false">E7+'Income Statement'!F51-'Income Statement'!F60*'Income Statement'!F56+24969</f>
        <v>461901.163536</v>
      </c>
      <c r="G7" s="25" t="n">
        <f aca="false">F7+'Income Statement'!G51-'Income Statement'!G60*'Income Statement'!G56</f>
        <v>526782.963913496</v>
      </c>
      <c r="H7" s="25" t="n">
        <f aca="false">G7+'Income Statement'!H51-'Income Statement'!H60*'Income Statement'!H56</f>
        <v>610007.77759972</v>
      </c>
      <c r="I7" s="25" t="n">
        <f aca="false">H7+'Income Statement'!I51-'Income Statement'!I60*'Income Statement'!I56</f>
        <v>713676.947769402</v>
      </c>
      <c r="J7" s="25" t="n">
        <f aca="false">I7+'Income Statement'!J51-'Income Statement'!J60*'Income Statement'!J56</f>
        <v>835823.528420745</v>
      </c>
      <c r="K7" s="25" t="n">
        <f aca="false">J7+'Income Statement'!K51-'Income Statement'!K60*'Income Statement'!K56</f>
        <v>976785.410609497</v>
      </c>
    </row>
    <row r="8" customFormat="false" ht="15" hidden="false" customHeight="true" outlineLevel="0" collapsed="false">
      <c r="A8" s="26" t="s">
        <v>193</v>
      </c>
      <c r="B8" s="27" t="n">
        <f aca="false">B6+B7</f>
        <v>227885</v>
      </c>
      <c r="C8" s="27" t="n">
        <f aca="false">C6+C7</f>
        <v>267998.95309</v>
      </c>
      <c r="D8" s="27" t="n">
        <f aca="false">D6+D7</f>
        <v>316888.107958</v>
      </c>
      <c r="E8" s="27" t="n">
        <f aca="false">E6+E7</f>
        <v>373557.414018</v>
      </c>
      <c r="F8" s="27" t="n">
        <f aca="false">F6+F7</f>
        <v>462824.163536</v>
      </c>
      <c r="G8" s="27" t="n">
        <f aca="false">G6+G7</f>
        <v>527692.163913496</v>
      </c>
      <c r="H8" s="27" t="n">
        <f aca="false">H6+H7</f>
        <v>610916.977599719</v>
      </c>
      <c r="I8" s="27" t="n">
        <f aca="false">I6+I7</f>
        <v>714586.147769402</v>
      </c>
      <c r="J8" s="27" t="n">
        <f aca="false">J6+J7</f>
        <v>836732.728420745</v>
      </c>
      <c r="K8" s="27" t="n">
        <f aca="false">K6+K7</f>
        <v>977694.610609497</v>
      </c>
    </row>
    <row r="9" customFormat="false" ht="15" hidden="false" customHeight="true" outlineLevel="0" collapsed="false">
      <c r="A9" s="28" t="s">
        <v>194</v>
      </c>
      <c r="B9" s="42" t="n">
        <f aca="false">B8/'Income Statement'!B56</f>
        <v>255.344777356968</v>
      </c>
      <c r="C9" s="42" t="n">
        <f aca="false">C8/'Income Statement'!C56</f>
        <v>300.292397519217</v>
      </c>
      <c r="D9" s="42" t="n">
        <f aca="false">D8/'Income Statement'!D56</f>
        <v>355.072617213096</v>
      </c>
      <c r="E9" s="42" t="n">
        <f aca="false">E8/'Income Statement'!E56</f>
        <v>418.570483851377</v>
      </c>
      <c r="F9" s="42" t="n">
        <f aca="false">F8/'Income Statement'!F56</f>
        <v>509.045494430268</v>
      </c>
      <c r="G9" s="42" t="n">
        <f aca="false">G8/'Income Statement'!G56</f>
        <v>580.39173329685</v>
      </c>
      <c r="H9" s="42" t="n">
        <f aca="false">H8/'Income Statement'!H56</f>
        <v>671.928043994412</v>
      </c>
      <c r="I9" s="42" t="n">
        <f aca="false">I8/'Income Statement'!I56</f>
        <v>785.950448492523</v>
      </c>
      <c r="J9" s="42" t="n">
        <f aca="false">J8/'Income Statement'!J56</f>
        <v>920.295565794924</v>
      </c>
      <c r="K9" s="42" t="n">
        <f aca="false">K8/'Income Statement'!K56</f>
        <v>1075.33503146667</v>
      </c>
    </row>
    <row r="11" customFormat="false" ht="15" hidden="false" customHeight="true" outlineLevel="0" collapsed="false">
      <c r="A11" s="23" t="s">
        <v>195</v>
      </c>
      <c r="B11" s="23"/>
      <c r="C11" s="23"/>
      <c r="D11" s="23"/>
      <c r="E11" s="23"/>
      <c r="F11" s="23"/>
      <c r="G11" s="23"/>
      <c r="H11" s="23"/>
      <c r="I11" s="23"/>
      <c r="J11" s="23"/>
      <c r="K11" s="23"/>
    </row>
    <row r="12" customFormat="false" ht="15" hidden="false" customHeight="true" outlineLevel="0" collapsed="false">
      <c r="A12" s="24" t="s">
        <v>196</v>
      </c>
      <c r="B12" s="22" t="n">
        <v>312215</v>
      </c>
      <c r="C12" s="22" t="n">
        <v>323612</v>
      </c>
      <c r="D12" s="22" t="n">
        <v>344479</v>
      </c>
      <c r="E12" s="22" t="n">
        <v>365701</v>
      </c>
      <c r="F12" s="22" t="n">
        <v>400815</v>
      </c>
      <c r="G12" s="25" t="n">
        <f aca="false">'Revenue Model'!G42*0.17</f>
        <v>443679.6</v>
      </c>
      <c r="H12" s="25" t="n">
        <f aca="false">'Revenue Model'!H42*0.17</f>
        <v>490897.3482</v>
      </c>
      <c r="I12" s="25" t="n">
        <f aca="false">'Revenue Model'!I42*0.17</f>
        <v>544521.858265</v>
      </c>
      <c r="J12" s="25" t="n">
        <f aca="false">'Revenue Model'!J42*0.17</f>
        <v>604419.26267415</v>
      </c>
      <c r="K12" s="25" t="n">
        <f aca="false">'Revenue Model'!K42*0.17</f>
        <v>670905.381568307</v>
      </c>
    </row>
    <row r="13" customFormat="false" ht="15" hidden="false" customHeight="true" outlineLevel="0" collapsed="false">
      <c r="A13" s="24" t="s">
        <v>197</v>
      </c>
      <c r="B13" s="22" t="n">
        <v>1524345</v>
      </c>
      <c r="C13" s="22" t="n">
        <v>1579986</v>
      </c>
      <c r="D13" s="22" t="n">
        <v>1681869</v>
      </c>
      <c r="E13" s="22" t="n">
        <v>1785484</v>
      </c>
      <c r="F13" s="22" t="n">
        <v>1956920</v>
      </c>
      <c r="G13" s="25" t="n">
        <f aca="false">'Revenue Model'!G42*0.83</f>
        <v>2166200.4</v>
      </c>
      <c r="H13" s="25" t="n">
        <f aca="false">'Revenue Model'!H42*0.83</f>
        <v>2396734.1118</v>
      </c>
      <c r="I13" s="25" t="n">
        <f aca="false">'Revenue Model'!I42*0.83</f>
        <v>2658547.896235</v>
      </c>
      <c r="J13" s="25" t="n">
        <f aca="false">'Revenue Model'!J42*0.83</f>
        <v>2950988.16482085</v>
      </c>
      <c r="K13" s="25" t="n">
        <f aca="false">'Revenue Model'!K42*0.83</f>
        <v>3275596.86295114</v>
      </c>
    </row>
    <row r="14" customFormat="false" ht="15" hidden="false" customHeight="true" outlineLevel="0" collapsed="false">
      <c r="A14" s="24" t="s">
        <v>198</v>
      </c>
      <c r="B14" s="25" t="n">
        <f aca="false">'Revenue Model'!B43</f>
        <v>2214974</v>
      </c>
      <c r="C14" s="25" t="n">
        <f aca="false">'Revenue Model'!C43</f>
        <v>2564942</v>
      </c>
      <c r="D14" s="25" t="n">
        <f aca="false">'Revenue Model'!D43</f>
        <v>2940192</v>
      </c>
      <c r="E14" s="25" t="n">
        <f aca="false">'Revenue Model'!E43</f>
        <v>3230815</v>
      </c>
      <c r="F14" s="25" t="n">
        <f aca="false">'Revenue Model'!F43</f>
        <v>3617265</v>
      </c>
      <c r="G14" s="25" t="n">
        <f aca="false">'Revenue Model'!G43</f>
        <v>4082120</v>
      </c>
      <c r="H14" s="25" t="n">
        <f aca="false">'Revenue Model'!H43</f>
        <v>4573948.54</v>
      </c>
      <c r="I14" s="25" t="n">
        <f aca="false">'Revenue Model'!I43</f>
        <v>5116591.9455</v>
      </c>
      <c r="J14" s="25" t="n">
        <f aca="false">'Revenue Model'!J43</f>
        <v>5679417.059505</v>
      </c>
      <c r="K14" s="25" t="n">
        <f aca="false">'Revenue Model'!K43</f>
        <v>6304152.93605055</v>
      </c>
    </row>
    <row r="15" customFormat="false" ht="15" hidden="false" customHeight="true" outlineLevel="0" collapsed="false">
      <c r="A15" s="26" t="s">
        <v>199</v>
      </c>
      <c r="B15" s="27" t="n">
        <f aca="false">B12+B13+B14</f>
        <v>4051534</v>
      </c>
      <c r="C15" s="27" t="n">
        <f aca="false">C12+C13+C14</f>
        <v>4468540</v>
      </c>
      <c r="D15" s="27" t="n">
        <f aca="false">D12+D13+D14</f>
        <v>4966540</v>
      </c>
      <c r="E15" s="27" t="n">
        <f aca="false">E12+E13+E14</f>
        <v>5382000</v>
      </c>
      <c r="F15" s="27" t="n">
        <f aca="false">F12+F13+F14</f>
        <v>5975000</v>
      </c>
      <c r="G15" s="27" t="n">
        <f aca="false">G12+G13+G14</f>
        <v>6692000</v>
      </c>
      <c r="H15" s="27" t="n">
        <f aca="false">H12+H13+H14</f>
        <v>7461580</v>
      </c>
      <c r="I15" s="27" t="n">
        <f aca="false">I12+I13+I14</f>
        <v>8319661.7</v>
      </c>
      <c r="J15" s="27" t="n">
        <f aca="false">J12+J13+J14</f>
        <v>9234824.487</v>
      </c>
      <c r="K15" s="27" t="n">
        <f aca="false">K12+K13+K14</f>
        <v>10250655.18057</v>
      </c>
    </row>
    <row r="16" customFormat="false" ht="15" hidden="false" customHeight="true" outlineLevel="0" collapsed="false">
      <c r="A16" s="28" t="s">
        <v>200</v>
      </c>
      <c r="B16" s="30" t="n">
        <f aca="false">(B12+B13)/B15</f>
        <v>0.453299910601762</v>
      </c>
      <c r="C16" s="30" t="n">
        <f aca="false">(C12+C13)/C15</f>
        <v>0.42599999104853</v>
      </c>
      <c r="D16" s="30" t="n">
        <f aca="false">(D12+D13)/D15</f>
        <v>0.407999935568827</v>
      </c>
      <c r="E16" s="30" t="n">
        <f aca="false">(E12+E13)/E15</f>
        <v>0.399699925678187</v>
      </c>
      <c r="F16" s="30" t="n">
        <f aca="false">(F12+F13)/F15</f>
        <v>0.3946</v>
      </c>
      <c r="G16" s="30" t="n">
        <f aca="false">(G12+G13)/G15</f>
        <v>0.39</v>
      </c>
      <c r="H16" s="30" t="n">
        <f aca="false">(H12+H13)/H15</f>
        <v>0.387</v>
      </c>
      <c r="I16" s="30" t="n">
        <f aca="false">(I12+I13)/I15</f>
        <v>0.385</v>
      </c>
      <c r="J16" s="30" t="n">
        <f aca="false">(J12+J13)/J15</f>
        <v>0.385</v>
      </c>
      <c r="K16" s="30" t="n">
        <f aca="false">(K12+K13)/K15</f>
        <v>0.385</v>
      </c>
    </row>
    <row r="17" customFormat="false" ht="15" hidden="false" customHeight="true" outlineLevel="0" collapsed="false">
      <c r="A17" s="28" t="s">
        <v>201</v>
      </c>
      <c r="B17" s="29" t="s">
        <v>75</v>
      </c>
      <c r="C17" s="30" t="n">
        <f aca="false">C15/B15-1</f>
        <v>0.102925459838175</v>
      </c>
      <c r="D17" s="30" t="n">
        <f aca="false">D15/C15-1</f>
        <v>0.111445796613659</v>
      </c>
      <c r="E17" s="30" t="n">
        <f aca="false">E15/D15-1</f>
        <v>0.0836517978310856</v>
      </c>
      <c r="F17" s="30" t="n">
        <f aca="false">F15/E15-1</f>
        <v>0.110182088442958</v>
      </c>
      <c r="G17" s="30" t="n">
        <f aca="false">G15/F15-1</f>
        <v>0.12</v>
      </c>
      <c r="H17" s="30" t="n">
        <f aca="false">H15/G15-1</f>
        <v>0.115</v>
      </c>
      <c r="I17" s="30" t="n">
        <f aca="false">I15/H15-1</f>
        <v>0.115</v>
      </c>
      <c r="J17" s="30" t="n">
        <f aca="false">J15/I15-1</f>
        <v>0.11</v>
      </c>
      <c r="K17" s="30" t="n">
        <f aca="false">K15/J15-1</f>
        <v>0.11</v>
      </c>
    </row>
    <row r="19" customFormat="false" ht="15" hidden="false" customHeight="true" outlineLevel="0" collapsed="false">
      <c r="A19" s="23" t="s">
        <v>202</v>
      </c>
      <c r="B19" s="23"/>
      <c r="C19" s="23"/>
      <c r="D19" s="23"/>
      <c r="E19" s="23"/>
      <c r="F19" s="23"/>
      <c r="G19" s="23"/>
      <c r="H19" s="23"/>
      <c r="I19" s="23"/>
      <c r="J19" s="23"/>
      <c r="K19" s="23"/>
    </row>
    <row r="20" customFormat="false" ht="15" hidden="false" customHeight="true" outlineLevel="0" collapsed="false">
      <c r="A20" s="24" t="s">
        <v>203</v>
      </c>
      <c r="B20" s="22" t="n">
        <v>148000</v>
      </c>
      <c r="C20" s="22" t="n">
        <v>162000</v>
      </c>
      <c r="D20" s="22" t="n">
        <v>178000</v>
      </c>
      <c r="E20" s="22" t="n">
        <v>196000</v>
      </c>
      <c r="F20" s="22" t="n">
        <v>224000</v>
      </c>
      <c r="G20" s="32" t="n">
        <f aca="false">F20*1.11</f>
        <v>248640</v>
      </c>
      <c r="H20" s="32" t="n">
        <f aca="false">G20*1.11</f>
        <v>275990.4</v>
      </c>
      <c r="I20" s="32" t="n">
        <f aca="false">H20*1.11</f>
        <v>306349.344</v>
      </c>
      <c r="J20" s="32" t="n">
        <f aca="false">I20*1.11</f>
        <v>340047.77184</v>
      </c>
      <c r="K20" s="32" t="n">
        <f aca="false">J20*1.11</f>
        <v>377453.0267424</v>
      </c>
    </row>
    <row r="21" customFormat="false" ht="15" hidden="false" customHeight="true" outlineLevel="0" collapsed="false">
      <c r="A21" s="24" t="s">
        <v>204</v>
      </c>
      <c r="B21" s="22" t="n">
        <v>82000</v>
      </c>
      <c r="C21" s="22" t="n">
        <v>96000</v>
      </c>
      <c r="D21" s="22" t="n">
        <v>112000</v>
      </c>
      <c r="E21" s="22" t="n">
        <v>131000</v>
      </c>
      <c r="F21" s="22" t="n">
        <v>158000</v>
      </c>
      <c r="G21" s="32" t="n">
        <f aca="false">F21*1.15</f>
        <v>181700</v>
      </c>
      <c r="H21" s="32" t="n">
        <f aca="false">G21*1.15</f>
        <v>208955</v>
      </c>
      <c r="I21" s="32" t="n">
        <f aca="false">H21*1.15</f>
        <v>240298.25</v>
      </c>
      <c r="J21" s="32" t="n">
        <f aca="false">I21*1.15</f>
        <v>276342.9875</v>
      </c>
      <c r="K21" s="32" t="n">
        <f aca="false">J21*1.15</f>
        <v>317794.435625</v>
      </c>
    </row>
    <row r="22" customFormat="false" ht="15" hidden="false" customHeight="true" outlineLevel="0" collapsed="false">
      <c r="A22" s="26" t="s">
        <v>205</v>
      </c>
      <c r="B22" s="27" t="n">
        <f aca="false">B20+B21</f>
        <v>230000</v>
      </c>
      <c r="C22" s="27" t="n">
        <f aca="false">C20+C21</f>
        <v>258000</v>
      </c>
      <c r="D22" s="27" t="n">
        <f aca="false">D20+D21</f>
        <v>290000</v>
      </c>
      <c r="E22" s="27" t="n">
        <f aca="false">E20+E21</f>
        <v>327000</v>
      </c>
      <c r="F22" s="27" t="n">
        <f aca="false">F20+F21</f>
        <v>382000</v>
      </c>
      <c r="G22" s="27" t="n">
        <f aca="false">G20+G21</f>
        <v>430340</v>
      </c>
      <c r="H22" s="27" t="n">
        <f aca="false">H20+H21</f>
        <v>484945.4</v>
      </c>
      <c r="I22" s="27" t="n">
        <f aca="false">I20+I21</f>
        <v>546647.594</v>
      </c>
      <c r="J22" s="27" t="n">
        <f aca="false">J20+J21</f>
        <v>616390.75934</v>
      </c>
      <c r="K22" s="27" t="n">
        <f aca="false">K20+K21</f>
        <v>695247.4623674</v>
      </c>
    </row>
    <row r="24" customFormat="false" ht="15" hidden="false" customHeight="true" outlineLevel="0" collapsed="false">
      <c r="A24" s="19" t="s">
        <v>206</v>
      </c>
      <c r="B24" s="22" t="n">
        <v>312000</v>
      </c>
      <c r="C24" s="22" t="n">
        <v>338000</v>
      </c>
      <c r="D24" s="22" t="n">
        <v>368000</v>
      </c>
      <c r="E24" s="22" t="n">
        <v>398000</v>
      </c>
      <c r="F24" s="22" t="n">
        <v>432000</v>
      </c>
      <c r="G24" s="32" t="n">
        <f aca="false">F24*1.09</f>
        <v>470880</v>
      </c>
      <c r="H24" s="32" t="n">
        <f aca="false">G24*1.09</f>
        <v>513259.2</v>
      </c>
      <c r="I24" s="32" t="n">
        <f aca="false">H24*1.09</f>
        <v>559452.528</v>
      </c>
      <c r="J24" s="32" t="n">
        <f aca="false">I24*1.09</f>
        <v>609803.25552</v>
      </c>
      <c r="K24" s="32" t="n">
        <f aca="false">J24*1.09</f>
        <v>664685.5485168</v>
      </c>
    </row>
    <row r="25" customFormat="false" ht="15" hidden="false" customHeight="true" outlineLevel="0" collapsed="false">
      <c r="A25" s="26" t="s">
        <v>207</v>
      </c>
      <c r="B25" s="27" t="n">
        <f aca="false">B8+B15+B22+B24</f>
        <v>4821419</v>
      </c>
      <c r="C25" s="27" t="n">
        <f aca="false">C8+C15+C22+C24</f>
        <v>5332538.95309</v>
      </c>
      <c r="D25" s="27" t="n">
        <f aca="false">D8+D15+D22+D24</f>
        <v>5941428.107958</v>
      </c>
      <c r="E25" s="27" t="n">
        <f aca="false">E8+E15+E22+E24</f>
        <v>6480557.414018</v>
      </c>
      <c r="F25" s="27" t="n">
        <f aca="false">F8+F15+F22+F24</f>
        <v>7251824.163536</v>
      </c>
      <c r="G25" s="27" t="n">
        <f aca="false">G8+G15+G22+G24</f>
        <v>8120912.1639135</v>
      </c>
      <c r="H25" s="27" t="n">
        <f aca="false">H8+H15+H22+H24</f>
        <v>9070701.57759972</v>
      </c>
      <c r="I25" s="27" t="n">
        <f aca="false">I8+I15+I22+I24</f>
        <v>10140347.9697694</v>
      </c>
      <c r="J25" s="27" t="n">
        <f aca="false">J8+J15+J22+J24</f>
        <v>11297751.2302807</v>
      </c>
      <c r="K25" s="27" t="n">
        <f aca="false">K8+K15+K22+K24</f>
        <v>12588282.8020637</v>
      </c>
    </row>
    <row r="28" customFormat="false" ht="16.5" hidden="false" customHeight="true" outlineLevel="0" collapsed="false">
      <c r="A28" s="18" t="s">
        <v>208</v>
      </c>
      <c r="B28" s="18"/>
      <c r="C28" s="18"/>
      <c r="D28" s="18"/>
      <c r="E28" s="18"/>
      <c r="F28" s="18"/>
      <c r="G28" s="18"/>
      <c r="H28" s="18"/>
      <c r="I28" s="18"/>
      <c r="J28" s="18"/>
      <c r="K28" s="18"/>
    </row>
    <row r="29" customFormat="false" ht="15" hidden="false" customHeight="true" outlineLevel="0" collapsed="false">
      <c r="A29" s="24" t="s">
        <v>209</v>
      </c>
      <c r="B29" s="22" t="n">
        <v>195000</v>
      </c>
      <c r="C29" s="22" t="n">
        <v>210000</v>
      </c>
      <c r="D29" s="22" t="n">
        <v>235000</v>
      </c>
      <c r="E29" s="22" t="n">
        <v>258000</v>
      </c>
      <c r="F29" s="22" t="n">
        <v>288000</v>
      </c>
      <c r="G29" s="25" t="n">
        <f aca="false">G15*0.045</f>
        <v>301140</v>
      </c>
      <c r="H29" s="25" t="n">
        <f aca="false">H15*0.045</f>
        <v>335771.1</v>
      </c>
      <c r="I29" s="25" t="n">
        <f aca="false">I15*0.045</f>
        <v>374384.7765</v>
      </c>
      <c r="J29" s="25" t="n">
        <f aca="false">J15*0.045</f>
        <v>415567.101915</v>
      </c>
      <c r="K29" s="25" t="n">
        <f aca="false">K15*0.045</f>
        <v>461279.48312565</v>
      </c>
    </row>
    <row r="30" customFormat="false" ht="15" hidden="false" customHeight="true" outlineLevel="0" collapsed="false">
      <c r="A30" s="24" t="s">
        <v>210</v>
      </c>
      <c r="B30" s="22" t="n">
        <v>98000</v>
      </c>
      <c r="C30" s="22" t="n">
        <v>105000</v>
      </c>
      <c r="D30" s="22" t="n">
        <v>118000</v>
      </c>
      <c r="E30" s="22" t="n">
        <v>129000</v>
      </c>
      <c r="F30" s="22" t="n">
        <v>142000</v>
      </c>
      <c r="G30" s="32" t="n">
        <f aca="false">F30*1.09</f>
        <v>154780</v>
      </c>
      <c r="H30" s="32" t="n">
        <f aca="false">G30*1.09</f>
        <v>168710.2</v>
      </c>
      <c r="I30" s="32" t="n">
        <f aca="false">H30*1.09</f>
        <v>183894.118</v>
      </c>
      <c r="J30" s="32" t="n">
        <f aca="false">I30*1.09</f>
        <v>200444.58862</v>
      </c>
      <c r="K30" s="32" t="n">
        <f aca="false">J30*1.09</f>
        <v>218484.6015958</v>
      </c>
    </row>
    <row r="31" customFormat="false" ht="15" hidden="false" customHeight="true" outlineLevel="0" collapsed="false">
      <c r="A31" s="23" t="s">
        <v>211</v>
      </c>
      <c r="B31" s="23"/>
      <c r="C31" s="23"/>
      <c r="D31" s="23"/>
      <c r="E31" s="23"/>
      <c r="F31" s="23"/>
      <c r="G31" s="23"/>
      <c r="H31" s="23"/>
      <c r="I31" s="23"/>
      <c r="J31" s="23"/>
      <c r="K31" s="23"/>
    </row>
    <row r="32" customFormat="false" ht="15" hidden="false" customHeight="true" outlineLevel="0" collapsed="false">
      <c r="A32" s="24" t="s">
        <v>212</v>
      </c>
      <c r="B32" s="22" t="n">
        <v>1263600</v>
      </c>
      <c r="C32" s="22" t="n">
        <v>1492226</v>
      </c>
      <c r="D32" s="22" t="n">
        <v>1646229</v>
      </c>
      <c r="E32" s="22" t="n">
        <v>1720368</v>
      </c>
      <c r="F32" s="22" t="n">
        <v>1825200</v>
      </c>
      <c r="G32" s="25" t="n">
        <f aca="false">'Revenue Model'!G34*0.78</f>
        <v>2011370.4</v>
      </c>
      <c r="H32" s="25" t="n">
        <f aca="false">'Revenue Model'!H34*0.78</f>
        <v>2207981.8566</v>
      </c>
      <c r="I32" s="25" t="n">
        <f aca="false">'Revenue Model'!I34*0.78</f>
        <v>2423812.08308265</v>
      </c>
      <c r="J32" s="25" t="n">
        <f aca="false">'Revenue Model'!J34*0.78</f>
        <v>2650438.51285088</v>
      </c>
      <c r="K32" s="25" t="n">
        <f aca="false">'Revenue Model'!K34*0.78</f>
        <v>2898254.51380244</v>
      </c>
    </row>
    <row r="33" customFormat="false" ht="15" hidden="false" customHeight="true" outlineLevel="0" collapsed="false">
      <c r="A33" s="24" t="s">
        <v>213</v>
      </c>
      <c r="B33" s="22" t="n">
        <v>356400</v>
      </c>
      <c r="C33" s="22" t="n">
        <v>420884</v>
      </c>
      <c r="D33" s="22" t="n">
        <v>464321</v>
      </c>
      <c r="E33" s="22" t="n">
        <v>485232</v>
      </c>
      <c r="F33" s="22" t="n">
        <v>514800</v>
      </c>
      <c r="G33" s="25" t="n">
        <f aca="false">'Revenue Model'!G34*0.22</f>
        <v>567309.6</v>
      </c>
      <c r="H33" s="25" t="n">
        <f aca="false">'Revenue Model'!H34*0.22</f>
        <v>622764.1134</v>
      </c>
      <c r="I33" s="25" t="n">
        <f aca="false">'Revenue Model'!I34*0.22</f>
        <v>683639.30548485</v>
      </c>
      <c r="J33" s="25" t="n">
        <f aca="false">'Revenue Model'!J34*0.22</f>
        <v>747559.580547684</v>
      </c>
      <c r="K33" s="25" t="n">
        <f aca="false">'Revenue Model'!K34*0.22</f>
        <v>817456.401328892</v>
      </c>
    </row>
    <row r="34" customFormat="false" ht="15" hidden="false" customHeight="true" outlineLevel="0" collapsed="false">
      <c r="A34" s="26" t="s">
        <v>214</v>
      </c>
      <c r="B34" s="27" t="n">
        <f aca="false">B32+B33</f>
        <v>1620000</v>
      </c>
      <c r="C34" s="27" t="n">
        <f aca="false">C32+C33</f>
        <v>1913110</v>
      </c>
      <c r="D34" s="27" t="n">
        <f aca="false">D32+D33</f>
        <v>2110550</v>
      </c>
      <c r="E34" s="27" t="n">
        <f aca="false">E32+E33</f>
        <v>2205600</v>
      </c>
      <c r="F34" s="27" t="n">
        <f aca="false">F32+F33</f>
        <v>2340000</v>
      </c>
      <c r="G34" s="27" t="n">
        <f aca="false">G32+G33</f>
        <v>2578680</v>
      </c>
      <c r="H34" s="27" t="n">
        <f aca="false">H32+H33</f>
        <v>2830745.97</v>
      </c>
      <c r="I34" s="27" t="n">
        <f aca="false">I32+I33</f>
        <v>3107451.3885675</v>
      </c>
      <c r="J34" s="27" t="n">
        <f aca="false">J32+J33</f>
        <v>3397998.09339856</v>
      </c>
      <c r="K34" s="27" t="n">
        <f aca="false">K32+K33</f>
        <v>3715710.91513133</v>
      </c>
    </row>
    <row r="35" customFormat="false" ht="15" hidden="false" customHeight="true" outlineLevel="0" collapsed="false">
      <c r="A35" s="23" t="s">
        <v>215</v>
      </c>
      <c r="B35" s="23"/>
      <c r="C35" s="23"/>
      <c r="D35" s="23"/>
      <c r="E35" s="23"/>
      <c r="F35" s="23"/>
      <c r="G35" s="23"/>
      <c r="H35" s="23"/>
      <c r="I35" s="23"/>
      <c r="J35" s="23"/>
      <c r="K35" s="23"/>
    </row>
    <row r="36" customFormat="false" ht="15" hidden="false" customHeight="true" outlineLevel="0" collapsed="false">
      <c r="A36" s="24" t="s">
        <v>216</v>
      </c>
      <c r="B36" s="25" t="n">
        <f aca="false">'Revenue Model'!B28</f>
        <v>2812306</v>
      </c>
      <c r="C36" s="25" t="n">
        <f aca="false">'Revenue Model'!C28</f>
        <v>3267900</v>
      </c>
      <c r="D36" s="25" t="n">
        <f aca="false">'Revenue Model'!D28</f>
        <v>3784270</v>
      </c>
      <c r="E36" s="25" t="n">
        <f aca="false">'Revenue Model'!E28</f>
        <v>4221000</v>
      </c>
      <c r="F36" s="25" t="n">
        <f aca="false">'Revenue Model'!F28</f>
        <v>4932000</v>
      </c>
      <c r="G36" s="25" t="n">
        <f aca="false">'Revenue Model'!G28</f>
        <v>5641773.45</v>
      </c>
      <c r="H36" s="25" t="n">
        <f aca="false">'Revenue Model'!H28</f>
        <v>6415543.1276</v>
      </c>
      <c r="I36" s="25" t="n">
        <f aca="false">'Revenue Model'!I28</f>
        <v>7260465.527886</v>
      </c>
      <c r="J36" s="25" t="n">
        <f aca="false">'Revenue Model'!J28</f>
        <v>8189101.56752391</v>
      </c>
      <c r="K36" s="25" t="n">
        <f aca="false">'Revenue Model'!K28</f>
        <v>9199530.89202503</v>
      </c>
    </row>
    <row r="37" customFormat="false" ht="15" hidden="false" customHeight="true" outlineLevel="0" collapsed="false">
      <c r="A37" s="33" t="s">
        <v>217</v>
      </c>
      <c r="B37" s="25" t="n">
        <f aca="false">B36*Assumptions!B34</f>
        <v>111648.5482</v>
      </c>
      <c r="C37" s="25" t="n">
        <f aca="false">C36*Assumptions!C34</f>
        <v>90847.62</v>
      </c>
      <c r="D37" s="25" t="n">
        <f aca="false">D36*Assumptions!D34</f>
        <v>84767.648</v>
      </c>
      <c r="E37" s="25" t="n">
        <f aca="false">E36*Assumptions!E34</f>
        <v>76822.2</v>
      </c>
      <c r="F37" s="25" t="n">
        <f aca="false">F36*Assumptions!F34</f>
        <v>73486.8</v>
      </c>
      <c r="G37" s="25" t="n">
        <f aca="false">G36*Assumptions!G34</f>
        <v>81805.715025</v>
      </c>
      <c r="H37" s="25" t="n">
        <f aca="false">H36*Assumptions!H34</f>
        <v>91100.71241192</v>
      </c>
      <c r="I37" s="25" t="n">
        <f aca="false">I36*Assumptions!I34</f>
        <v>101646.517390404</v>
      </c>
      <c r="J37" s="25" t="n">
        <f aca="false">J36*Assumptions!J34</f>
        <v>114647.421945335</v>
      </c>
      <c r="K37" s="25" t="n">
        <f aca="false">K36*Assumptions!K34</f>
        <v>128793.43248835</v>
      </c>
    </row>
    <row r="38" customFormat="false" ht="15" hidden="false" customHeight="true" outlineLevel="0" collapsed="false">
      <c r="A38" s="24" t="s">
        <v>218</v>
      </c>
      <c r="B38" s="25" t="n">
        <f aca="false">B37*Assumptions!B36</f>
        <v>84071.3567946</v>
      </c>
      <c r="C38" s="25" t="n">
        <f aca="false">C37*Assumptions!C36</f>
        <v>69770.97216</v>
      </c>
      <c r="D38" s="25" t="n">
        <f aca="false">D37*Assumptions!D36</f>
        <v>63999.57424</v>
      </c>
      <c r="E38" s="25" t="n">
        <f aca="false">E37*Assumptions!E36</f>
        <v>57171.08124</v>
      </c>
      <c r="F38" s="25" t="n">
        <f aca="false">F37*Assumptions!F36</f>
        <v>54644.78448</v>
      </c>
      <c r="G38" s="25" t="n">
        <f aca="false">G37*Assumptions!G36</f>
        <v>60945.257693625</v>
      </c>
      <c r="H38" s="25" t="n">
        <f aca="false">H37*Assumptions!H36</f>
        <v>67870.0307468804</v>
      </c>
      <c r="I38" s="25" t="n">
        <f aca="false">I37*Assumptions!I36</f>
        <v>75726.655455851</v>
      </c>
      <c r="J38" s="25" t="n">
        <f aca="false">J37*Assumptions!J36</f>
        <v>85412.3293492744</v>
      </c>
      <c r="K38" s="25" t="n">
        <f aca="false">K37*Assumptions!K36</f>
        <v>95951.107203821</v>
      </c>
    </row>
    <row r="39" customFormat="false" ht="15" hidden="false" customHeight="true" outlineLevel="0" collapsed="false">
      <c r="A39" s="26" t="s">
        <v>219</v>
      </c>
      <c r="B39" s="27" t="n">
        <f aca="false">B36-B38</f>
        <v>2728234.6432054</v>
      </c>
      <c r="C39" s="27" t="n">
        <f aca="false">C36-C38</f>
        <v>3198129.02784</v>
      </c>
      <c r="D39" s="27" t="n">
        <f aca="false">D36-D38</f>
        <v>3720270.42576</v>
      </c>
      <c r="E39" s="27" t="n">
        <f aca="false">E36-E38</f>
        <v>4163828.91876</v>
      </c>
      <c r="F39" s="27" t="n">
        <f aca="false">F36-F38</f>
        <v>4877355.21552</v>
      </c>
      <c r="G39" s="27" t="n">
        <f aca="false">G36-G38</f>
        <v>5580828.19230638</v>
      </c>
      <c r="H39" s="27" t="n">
        <f aca="false">H36-H38</f>
        <v>6347673.09685312</v>
      </c>
      <c r="I39" s="27" t="n">
        <f aca="false">I36-I38</f>
        <v>7184738.87243015</v>
      </c>
      <c r="J39" s="27" t="n">
        <f aca="false">J36-J38</f>
        <v>8103689.23817464</v>
      </c>
      <c r="K39" s="27" t="n">
        <f aca="false">K36-K38</f>
        <v>9103579.78482121</v>
      </c>
    </row>
    <row r="40" customFormat="false" ht="15" hidden="false" customHeight="true" outlineLevel="0" collapsed="false">
      <c r="A40" s="28" t="s">
        <v>220</v>
      </c>
      <c r="B40" s="35" t="n">
        <f aca="false">Assumptions!B34</f>
        <v>0.0397</v>
      </c>
      <c r="C40" s="35" t="n">
        <f aca="false">Assumptions!C34</f>
        <v>0.0278</v>
      </c>
      <c r="D40" s="35" t="n">
        <f aca="false">Assumptions!D34</f>
        <v>0.0224</v>
      </c>
      <c r="E40" s="35" t="n">
        <f aca="false">Assumptions!E34</f>
        <v>0.0182</v>
      </c>
      <c r="F40" s="35" t="n">
        <f aca="false">Assumptions!F34</f>
        <v>0.0149</v>
      </c>
      <c r="G40" s="35" t="n">
        <f aca="false">Assumptions!G34</f>
        <v>0.0145</v>
      </c>
      <c r="H40" s="35" t="n">
        <f aca="false">Assumptions!H34</f>
        <v>0.0142</v>
      </c>
      <c r="I40" s="35" t="n">
        <f aca="false">Assumptions!I34</f>
        <v>0.014</v>
      </c>
      <c r="J40" s="35" t="n">
        <f aca="false">Assumptions!J34</f>
        <v>0.014</v>
      </c>
      <c r="K40" s="35" t="n">
        <f aca="false">Assumptions!K34</f>
        <v>0.014</v>
      </c>
    </row>
    <row r="41" customFormat="false" ht="15" hidden="false" customHeight="true" outlineLevel="0" collapsed="false">
      <c r="A41" s="28" t="s">
        <v>221</v>
      </c>
      <c r="B41" s="35" t="n">
        <f aca="false">Assumptions!B35</f>
        <v>0.0102</v>
      </c>
      <c r="C41" s="35" t="n">
        <f aca="false">Assumptions!C35</f>
        <v>0.0067</v>
      </c>
      <c r="D41" s="35" t="n">
        <f aca="false">Assumptions!D35</f>
        <v>0.0057</v>
      </c>
      <c r="E41" s="35" t="n">
        <f aca="false">Assumptions!E35</f>
        <v>0.0047</v>
      </c>
      <c r="F41" s="35" t="n">
        <f aca="false">Assumptions!F35</f>
        <v>0.0039</v>
      </c>
      <c r="G41" s="35" t="n">
        <f aca="false">Assumptions!G35</f>
        <v>0.0038</v>
      </c>
      <c r="H41" s="35" t="n">
        <f aca="false">Assumptions!H35</f>
        <v>0.0037</v>
      </c>
      <c r="I41" s="35" t="n">
        <f aca="false">Assumptions!I35</f>
        <v>0.0036</v>
      </c>
      <c r="J41" s="35" t="n">
        <f aca="false">Assumptions!J35</f>
        <v>0.0036</v>
      </c>
      <c r="K41" s="35" t="n">
        <f aca="false">Assumptions!K35</f>
        <v>0.0036</v>
      </c>
    </row>
    <row r="42" customFormat="false" ht="15" hidden="false" customHeight="true" outlineLevel="0" collapsed="false">
      <c r="A42" s="28" t="s">
        <v>222</v>
      </c>
      <c r="B42" s="36" t="n">
        <f aca="false">Assumptions!B36</f>
        <v>0.753</v>
      </c>
      <c r="C42" s="36" t="n">
        <f aca="false">Assumptions!C36</f>
        <v>0.768</v>
      </c>
      <c r="D42" s="36" t="n">
        <f aca="false">Assumptions!D36</f>
        <v>0.755</v>
      </c>
      <c r="E42" s="36" t="n">
        <f aca="false">Assumptions!E36</f>
        <v>0.7442</v>
      </c>
      <c r="F42" s="36" t="n">
        <f aca="false">Assumptions!F36</f>
        <v>0.7436</v>
      </c>
      <c r="G42" s="36" t="n">
        <f aca="false">Assumptions!G36</f>
        <v>0.745</v>
      </c>
      <c r="H42" s="36" t="n">
        <f aca="false">Assumptions!H36</f>
        <v>0.745</v>
      </c>
      <c r="I42" s="36" t="n">
        <f aca="false">Assumptions!I36</f>
        <v>0.745</v>
      </c>
      <c r="J42" s="36" t="n">
        <f aca="false">Assumptions!J36</f>
        <v>0.745</v>
      </c>
      <c r="K42" s="36" t="n">
        <f aca="false">Assumptions!K36</f>
        <v>0.745</v>
      </c>
    </row>
    <row r="44" customFormat="false" ht="15" hidden="false" customHeight="true" outlineLevel="0" collapsed="false">
      <c r="A44" s="19" t="s">
        <v>223</v>
      </c>
      <c r="B44" s="22" t="n">
        <v>42000</v>
      </c>
      <c r="C44" s="22" t="n">
        <v>43500</v>
      </c>
      <c r="D44" s="22" t="n">
        <v>45200</v>
      </c>
      <c r="E44" s="22" t="n">
        <v>47000</v>
      </c>
      <c r="F44" s="22" t="n">
        <v>49200</v>
      </c>
      <c r="G44" s="32" t="n">
        <f aca="false">F44*1.05</f>
        <v>51660</v>
      </c>
      <c r="H44" s="32" t="n">
        <f aca="false">G44*1.05</f>
        <v>54243</v>
      </c>
      <c r="I44" s="32" t="n">
        <f aca="false">H44*1.05</f>
        <v>56955.15</v>
      </c>
      <c r="J44" s="32" t="n">
        <f aca="false">I44*1.05</f>
        <v>59802.9075</v>
      </c>
      <c r="K44" s="32" t="n">
        <f aca="false">J44*1.05</f>
        <v>62793.052875</v>
      </c>
    </row>
    <row r="45" customFormat="false" ht="15" hidden="false" customHeight="true" outlineLevel="0" collapsed="false">
      <c r="A45" s="28" t="s">
        <v>224</v>
      </c>
      <c r="B45" s="32" t="n">
        <f aca="false">B25-(B29+B30+B34+B39+B44)</f>
        <v>138184.356794599</v>
      </c>
      <c r="C45" s="32" t="n">
        <f aca="false">C25-(C29+C30+C34+C39+C44)</f>
        <v>-137200.07475</v>
      </c>
      <c r="D45" s="32" t="n">
        <f aca="false">D25-(D29+D30+D34+D39+D44)</f>
        <v>-287592.317802</v>
      </c>
      <c r="E45" s="32" t="n">
        <f aca="false">E25-(E29+E30+E34+E39+E44)</f>
        <v>-322871.504742</v>
      </c>
      <c r="F45" s="32" t="n">
        <f aca="false">F25-(F29+F30+F34+F39+F44)</f>
        <v>-444731.051984</v>
      </c>
      <c r="G45" s="32" t="n">
        <f aca="false">G25-(G29+G30+G34+G39+G44)</f>
        <v>-546176.028392878</v>
      </c>
      <c r="H45" s="32" t="n">
        <f aca="false">H25-(H29+H30+H34+H39+H44)</f>
        <v>-666441.789253401</v>
      </c>
      <c r="I45" s="32" t="n">
        <f aca="false">I25-(I29+I30+I34+I39+I44)</f>
        <v>-767076.335728243</v>
      </c>
      <c r="J45" s="32" t="n">
        <f aca="false">J25-(J29+J30+J34+J39+J44)</f>
        <v>-879750.69932745</v>
      </c>
      <c r="K45" s="32" t="n">
        <f aca="false">K25-(K29+K30+K34+K39+K44)</f>
        <v>-973565.035485279</v>
      </c>
    </row>
    <row r="46" customFormat="false" ht="15" hidden="false" customHeight="true" outlineLevel="0" collapsed="false">
      <c r="A46" s="26" t="s">
        <v>225</v>
      </c>
      <c r="B46" s="27" t="n">
        <f aca="false">B29+B30+B34+B39+B44+B45</f>
        <v>4821419</v>
      </c>
      <c r="C46" s="27" t="n">
        <f aca="false">C29+C30+C34+C39+C44+C45</f>
        <v>5332538.95309</v>
      </c>
      <c r="D46" s="27" t="n">
        <f aca="false">D29+D30+D34+D39+D44+D45</f>
        <v>5941428.107958</v>
      </c>
      <c r="E46" s="27" t="n">
        <f aca="false">E29+E30+E34+E39+E44+E45</f>
        <v>6480557.414018</v>
      </c>
      <c r="F46" s="27" t="n">
        <f aca="false">F29+F30+F34+F39+F44+F45</f>
        <v>7251824.163536</v>
      </c>
      <c r="G46" s="27" t="n">
        <f aca="false">G29+G30+G34+G39+G44+G45</f>
        <v>8120912.1639135</v>
      </c>
      <c r="H46" s="27" t="n">
        <f aca="false">H29+H30+H34+H39+H44+H45</f>
        <v>9070701.57759972</v>
      </c>
      <c r="I46" s="27" t="n">
        <f aca="false">I29+I30+I34+I39+I44+I45</f>
        <v>10140347.9697694</v>
      </c>
      <c r="J46" s="27" t="n">
        <f aca="false">J29+J30+J34+J39+J44+J45</f>
        <v>11297751.2302807</v>
      </c>
      <c r="K46" s="27" t="n">
        <f aca="false">K29+K30+K34+K39+K44+K45</f>
        <v>12588282.8020637</v>
      </c>
    </row>
    <row r="49" customFormat="false" ht="15" hidden="false" customHeight="true" outlineLevel="0" collapsed="false">
      <c r="A49" s="47" t="s">
        <v>226</v>
      </c>
      <c r="B49" s="48" t="n">
        <f aca="false">B46-B25</f>
        <v>0</v>
      </c>
      <c r="C49" s="48" t="n">
        <f aca="false">C46-C25</f>
        <v>0</v>
      </c>
      <c r="D49" s="48" t="n">
        <f aca="false">D46-D25</f>
        <v>0</v>
      </c>
      <c r="E49" s="48" t="n">
        <f aca="false">E46-E25</f>
        <v>0</v>
      </c>
      <c r="F49" s="48" t="n">
        <f aca="false">F46-F25</f>
        <v>0</v>
      </c>
      <c r="G49" s="48" t="n">
        <f aca="false">G46-G25</f>
        <v>0</v>
      </c>
      <c r="H49" s="48" t="n">
        <f aca="false">H46-H25</f>
        <v>0</v>
      </c>
      <c r="I49" s="48" t="n">
        <f aca="false">I46-I25</f>
        <v>0</v>
      </c>
      <c r="J49" s="48" t="n">
        <f aca="false">J46-J25</f>
        <v>0</v>
      </c>
      <c r="K49" s="48" t="n">
        <f aca="false">K46-K25</f>
        <v>0</v>
      </c>
    </row>
    <row r="51" customFormat="false" ht="16.5" hidden="false" customHeight="true" outlineLevel="0" collapsed="false">
      <c r="A51" s="18" t="s">
        <v>227</v>
      </c>
      <c r="B51" s="18"/>
      <c r="C51" s="18"/>
      <c r="D51" s="18"/>
      <c r="E51" s="18"/>
      <c r="F51" s="18"/>
      <c r="G51" s="18"/>
      <c r="H51" s="18"/>
      <c r="I51" s="18"/>
      <c r="J51" s="18"/>
      <c r="K51" s="18"/>
    </row>
    <row r="52" customFormat="false" ht="15" hidden="false" customHeight="true" outlineLevel="0" collapsed="false">
      <c r="A52" s="24" t="s">
        <v>228</v>
      </c>
      <c r="B52" s="32" t="n">
        <f aca="false">B36*0.62</f>
        <v>1743629.72</v>
      </c>
      <c r="C52" s="32" t="n">
        <f aca="false">C36*0.62</f>
        <v>2026098</v>
      </c>
      <c r="D52" s="32" t="n">
        <f aca="false">D36*0.62</f>
        <v>2346247.4</v>
      </c>
      <c r="E52" s="32" t="n">
        <f aca="false">E36*0.62</f>
        <v>2617020</v>
      </c>
      <c r="F52" s="32" t="n">
        <f aca="false">F36*0.62</f>
        <v>3057840</v>
      </c>
      <c r="G52" s="32" t="n">
        <f aca="false">G36*0.62</f>
        <v>3497899.539</v>
      </c>
      <c r="H52" s="32" t="n">
        <f aca="false">H36*0.62</f>
        <v>3977636.739112</v>
      </c>
      <c r="I52" s="32" t="n">
        <f aca="false">I36*0.62</f>
        <v>4501488.62728932</v>
      </c>
      <c r="J52" s="32" t="n">
        <f aca="false">J36*0.62</f>
        <v>5077242.97186482</v>
      </c>
      <c r="K52" s="32" t="n">
        <f aca="false">K36*0.62</f>
        <v>5703709.15305552</v>
      </c>
    </row>
    <row r="53" customFormat="false" ht="15" hidden="false" customHeight="true" outlineLevel="0" collapsed="false">
      <c r="A53" s="24" t="s">
        <v>229</v>
      </c>
      <c r="B53" s="20" t="n">
        <v>0.0971</v>
      </c>
      <c r="C53" s="20" t="n">
        <v>0.1013</v>
      </c>
      <c r="D53" s="20" t="n">
        <v>0.1036</v>
      </c>
      <c r="E53" s="20" t="n">
        <v>0.1081</v>
      </c>
      <c r="F53" s="20" t="n">
        <v>0.114</v>
      </c>
      <c r="G53" s="31" t="n">
        <f aca="false">G8/G52</f>
        <v>0.150859725395188</v>
      </c>
      <c r="H53" s="31" t="n">
        <f aca="false">H8/H52</f>
        <v>0.15358792611517</v>
      </c>
      <c r="I53" s="31" t="n">
        <f aca="false">I8/I52</f>
        <v>0.158744408113657</v>
      </c>
      <c r="J53" s="31" t="n">
        <f aca="false">J8/J52</f>
        <v>0.164800607939671</v>
      </c>
      <c r="K53" s="31" t="n">
        <f aca="false">K8/K52</f>
        <v>0.171413826402025</v>
      </c>
    </row>
    <row r="54" customFormat="false" ht="15" hidden="false" customHeight="true" outlineLevel="0" collapsed="false">
      <c r="A54" s="24" t="s">
        <v>230</v>
      </c>
      <c r="B54" s="20" t="n">
        <v>0.112</v>
      </c>
      <c r="C54" s="20" t="n">
        <v>0.1198</v>
      </c>
      <c r="D54" s="20" t="n">
        <v>0.121</v>
      </c>
      <c r="E54" s="20" t="n">
        <v>0.126</v>
      </c>
      <c r="F54" s="20" t="n">
        <v>0.135</v>
      </c>
      <c r="G54" s="31" t="n">
        <f aca="false">F54</f>
        <v>0.135</v>
      </c>
      <c r="H54" s="31" t="n">
        <f aca="false">G54</f>
        <v>0.135</v>
      </c>
      <c r="I54" s="31" t="n">
        <f aca="false">H54</f>
        <v>0.135</v>
      </c>
      <c r="J54" s="31" t="n">
        <f aca="false">I54</f>
        <v>0.135</v>
      </c>
      <c r="K54" s="31" t="n">
        <f aca="false">J54</f>
        <v>0.135</v>
      </c>
    </row>
    <row r="55" customFormat="false" ht="15" hidden="false" customHeight="true" outlineLevel="0" collapsed="false">
      <c r="A55" s="24" t="s">
        <v>231</v>
      </c>
      <c r="B55" s="36" t="n">
        <f aca="false">Assumptions!B37</f>
        <v>0.1383</v>
      </c>
      <c r="C55" s="36" t="n">
        <f aca="false">Assumptions!C37</f>
        <v>0.1468</v>
      </c>
      <c r="D55" s="36" t="n">
        <f aca="false">Assumptions!D37</f>
        <v>0.1428</v>
      </c>
      <c r="E55" s="36" t="n">
        <f aca="false">Assumptions!E37</f>
        <v>0.1425</v>
      </c>
      <c r="F55" s="36" t="n">
        <f aca="false">Assumptions!F37</f>
        <v>0.154</v>
      </c>
      <c r="G55" s="36" t="n">
        <f aca="false">Assumptions!G37</f>
        <v>0.152</v>
      </c>
      <c r="H55" s="36" t="n">
        <f aca="false">Assumptions!H37</f>
        <v>0.153</v>
      </c>
      <c r="I55" s="36" t="n">
        <f aca="false">Assumptions!I37</f>
        <v>0.154</v>
      </c>
      <c r="J55" s="36" t="n">
        <f aca="false">Assumptions!J37</f>
        <v>0.154</v>
      </c>
      <c r="K55" s="36" t="n">
        <f aca="false">Assumptions!K37</f>
        <v>0.155</v>
      </c>
    </row>
  </sheetData>
  <mergeCells count="10">
    <mergeCell ref="A1:K1"/>
    <mergeCell ref="A2:K2"/>
    <mergeCell ref="A4:K4"/>
    <mergeCell ref="A5:K5"/>
    <mergeCell ref="A11:K11"/>
    <mergeCell ref="A19:K19"/>
    <mergeCell ref="A28:K28"/>
    <mergeCell ref="A31:K31"/>
    <mergeCell ref="A35:K35"/>
    <mergeCell ref="A51:K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1" min="2" style="1" width="13.5"/>
  </cols>
  <sheetData>
    <row r="1" customFormat="false" ht="25.5" hidden="false" customHeight="true" outlineLevel="0" collapsed="false">
      <c r="A1" s="13" t="s">
        <v>232</v>
      </c>
      <c r="B1" s="13"/>
      <c r="C1" s="13"/>
      <c r="D1" s="13"/>
      <c r="E1" s="13"/>
      <c r="F1" s="13"/>
      <c r="G1" s="13"/>
      <c r="H1" s="13"/>
      <c r="I1" s="13"/>
      <c r="J1" s="13"/>
      <c r="K1" s="13"/>
    </row>
    <row r="2" customFormat="false" ht="15.75" hidden="false" customHeight="true" outlineLevel="0" collapsed="false">
      <c r="A2" s="14" t="s">
        <v>233</v>
      </c>
      <c r="B2" s="14"/>
      <c r="C2" s="14"/>
      <c r="D2" s="14"/>
      <c r="E2" s="14"/>
      <c r="F2" s="14"/>
      <c r="G2" s="14"/>
      <c r="H2" s="14"/>
      <c r="I2" s="14"/>
      <c r="J2" s="14"/>
      <c r="K2" s="14"/>
    </row>
    <row r="3" customFormat="false" ht="18" hidden="false" customHeight="true" outlineLevel="0" collapsed="false">
      <c r="A3" s="15" t="s">
        <v>21</v>
      </c>
      <c r="B3" s="16" t="s">
        <v>22</v>
      </c>
      <c r="C3" s="16" t="s">
        <v>23</v>
      </c>
      <c r="D3" s="16" t="s">
        <v>24</v>
      </c>
      <c r="E3" s="16" t="s">
        <v>25</v>
      </c>
      <c r="F3" s="16" t="s">
        <v>26</v>
      </c>
      <c r="G3" s="17" t="s">
        <v>27</v>
      </c>
      <c r="H3" s="17" t="s">
        <v>28</v>
      </c>
      <c r="I3" s="17" t="s">
        <v>29</v>
      </c>
      <c r="J3" s="17" t="s">
        <v>30</v>
      </c>
      <c r="K3" s="17" t="s">
        <v>31</v>
      </c>
    </row>
    <row r="4" customFormat="false" ht="16.5" hidden="false" customHeight="true" outlineLevel="0" collapsed="false">
      <c r="A4" s="18" t="s">
        <v>234</v>
      </c>
      <c r="B4" s="18"/>
      <c r="C4" s="18"/>
      <c r="D4" s="18"/>
      <c r="E4" s="18"/>
      <c r="F4" s="18"/>
      <c r="G4" s="18"/>
      <c r="H4" s="18"/>
      <c r="I4" s="18"/>
      <c r="J4" s="18"/>
      <c r="K4" s="18"/>
    </row>
    <row r="5" customFormat="false" ht="15" hidden="false" customHeight="true" outlineLevel="0" collapsed="false">
      <c r="A5" s="24" t="s">
        <v>235</v>
      </c>
      <c r="B5" s="25" t="n">
        <f aca="false">'Income Statement'!B48</f>
        <v>46522.038</v>
      </c>
      <c r="C5" s="25" t="n">
        <f aca="false">'Income Statement'!C48</f>
        <v>67200.47</v>
      </c>
      <c r="D5" s="25" t="n">
        <f aca="false">'Income Statement'!D48</f>
        <v>81705.691</v>
      </c>
      <c r="E5" s="25" t="n">
        <f aca="false">'Income Statement'!E48</f>
        <v>94731.845</v>
      </c>
      <c r="F5" s="25" t="n">
        <f aca="false">'Income Statement'!F48</f>
        <v>107007.1785</v>
      </c>
      <c r="G5" s="25" t="n">
        <f aca="false">'Income Statement'!G48</f>
        <v>110497.292785</v>
      </c>
      <c r="H5" s="25" t="n">
        <f aca="false">'Income Statement'!H48</f>
        <v>141736.45847308</v>
      </c>
      <c r="I5" s="25" t="n">
        <f aca="false">'Income Statement'!I48</f>
        <v>176554.327752449</v>
      </c>
      <c r="J5" s="25" t="n">
        <f aca="false">'Income Statement'!J48</f>
        <v>208022.379255668</v>
      </c>
      <c r="K5" s="25" t="n">
        <f aca="false">'Income Statement'!K48</f>
        <v>240065.877905842</v>
      </c>
    </row>
    <row r="6" customFormat="false" ht="15" hidden="false" customHeight="true" outlineLevel="0" collapsed="false">
      <c r="A6" s="24" t="s">
        <v>236</v>
      </c>
      <c r="B6" s="25" t="n">
        <f aca="false">'Income Statement'!B33</f>
        <v>3600</v>
      </c>
      <c r="C6" s="25" t="n">
        <f aca="false">'Income Statement'!C33</f>
        <v>3900</v>
      </c>
      <c r="D6" s="25" t="n">
        <f aca="false">'Income Statement'!D33</f>
        <v>4300</v>
      </c>
      <c r="E6" s="25" t="n">
        <f aca="false">'Income Statement'!E33</f>
        <v>4700</v>
      </c>
      <c r="F6" s="25" t="n">
        <f aca="false">'Income Statement'!F33</f>
        <v>5100</v>
      </c>
      <c r="G6" s="25" t="n">
        <f aca="false">'Income Statement'!G33</f>
        <v>5661</v>
      </c>
      <c r="H6" s="25" t="n">
        <f aca="false">'Income Statement'!H33</f>
        <v>6283.71</v>
      </c>
      <c r="I6" s="25" t="n">
        <f aca="false">'Income Statement'!I33</f>
        <v>6974.9181</v>
      </c>
      <c r="J6" s="25" t="n">
        <f aca="false">'Income Statement'!J33</f>
        <v>7672.40991</v>
      </c>
      <c r="K6" s="25" t="n">
        <f aca="false">'Income Statement'!K33</f>
        <v>8439.65090100001</v>
      </c>
    </row>
    <row r="7" customFormat="false" ht="15" hidden="false" customHeight="true" outlineLevel="0" collapsed="false">
      <c r="A7" s="24" t="s">
        <v>237</v>
      </c>
      <c r="B7" s="25" t="n">
        <f aca="false">'Income Statement'!B46</f>
        <v>24100</v>
      </c>
      <c r="C7" s="25" t="n">
        <f aca="false">'Income Statement'!C46</f>
        <v>15700</v>
      </c>
      <c r="D7" s="25" t="n">
        <f aca="false">'Income Statement'!D46</f>
        <v>15800</v>
      </c>
      <c r="E7" s="25" t="n">
        <f aca="false">'Income Statement'!E46</f>
        <v>13900</v>
      </c>
      <c r="F7" s="25" t="n">
        <f aca="false">'Income Statement'!F46</f>
        <v>15000</v>
      </c>
      <c r="G7" s="25" t="n">
        <f aca="false">'Income Statement'!G46</f>
        <v>27859.44849</v>
      </c>
      <c r="H7" s="25" t="n">
        <f aca="false">'Income Statement'!H46</f>
        <v>31510.62113592</v>
      </c>
      <c r="I7" s="25" t="n">
        <f aca="false">'Income Statement'!I46</f>
        <v>37680.087275487</v>
      </c>
      <c r="J7" s="25" t="n">
        <f aca="false">'Income Statement'!J46</f>
        <v>42307.6555688576</v>
      </c>
      <c r="K7" s="25" t="n">
        <f aca="false">'Income Statement'!K46</f>
        <v>47345.5595993626</v>
      </c>
    </row>
    <row r="8" customFormat="false" ht="15" hidden="false" customHeight="true" outlineLevel="0" collapsed="false">
      <c r="A8" s="26" t="s">
        <v>238</v>
      </c>
      <c r="B8" s="27" t="n">
        <f aca="false">B5+B6+B7</f>
        <v>74222.038</v>
      </c>
      <c r="C8" s="27" t="n">
        <f aca="false">C5+C6+C7</f>
        <v>86800.47</v>
      </c>
      <c r="D8" s="27" t="n">
        <f aca="false">D5+D6+D7</f>
        <v>101805.691</v>
      </c>
      <c r="E8" s="27" t="n">
        <f aca="false">E5+E6+E7</f>
        <v>113331.845</v>
      </c>
      <c r="F8" s="27" t="n">
        <f aca="false">F5+F6+F7</f>
        <v>127107.1785</v>
      </c>
      <c r="G8" s="27" t="n">
        <f aca="false">G5+G6+G7</f>
        <v>144017.741275</v>
      </c>
      <c r="H8" s="27" t="n">
        <f aca="false">H5+H6+H7</f>
        <v>179530.789609</v>
      </c>
      <c r="I8" s="27" t="n">
        <f aca="false">I5+I6+I7</f>
        <v>221209.333127936</v>
      </c>
      <c r="J8" s="27" t="n">
        <f aca="false">J5+J6+J7</f>
        <v>258002.444734525</v>
      </c>
      <c r="K8" s="27" t="n">
        <f aca="false">K5+K6+K7</f>
        <v>295851.088406204</v>
      </c>
    </row>
    <row r="10" customFormat="false" ht="15" hidden="false" customHeight="true" outlineLevel="0" collapsed="false">
      <c r="A10" s="23" t="s">
        <v>239</v>
      </c>
      <c r="B10" s="23"/>
      <c r="C10" s="23"/>
      <c r="D10" s="23"/>
      <c r="E10" s="23"/>
      <c r="F10" s="23"/>
      <c r="G10" s="23"/>
      <c r="H10" s="23"/>
      <c r="I10" s="23"/>
      <c r="J10" s="23"/>
      <c r="K10" s="23"/>
    </row>
    <row r="11" customFormat="false" ht="15" hidden="false" customHeight="true" outlineLevel="0" collapsed="false">
      <c r="A11" s="24" t="s">
        <v>240</v>
      </c>
      <c r="B11" s="22" t="n">
        <v>0</v>
      </c>
      <c r="C11" s="25" t="n">
        <f aca="false">-('Balance Sheet'!C34-'Balance Sheet'!B34)</f>
        <v>-293110</v>
      </c>
      <c r="D11" s="25" t="n">
        <f aca="false">-('Balance Sheet'!D34-'Balance Sheet'!C34)</f>
        <v>-197440</v>
      </c>
      <c r="E11" s="25" t="n">
        <f aca="false">-('Balance Sheet'!E34-'Balance Sheet'!D34)</f>
        <v>-95050</v>
      </c>
      <c r="F11" s="25" t="n">
        <f aca="false">-('Balance Sheet'!F34-'Balance Sheet'!E34)</f>
        <v>-134400</v>
      </c>
      <c r="G11" s="25" t="n">
        <f aca="false">-('Balance Sheet'!G34-'Balance Sheet'!F34)</f>
        <v>-238680</v>
      </c>
      <c r="H11" s="25" t="n">
        <f aca="false">-('Balance Sheet'!H34-'Balance Sheet'!G34)</f>
        <v>-252065.97</v>
      </c>
      <c r="I11" s="25" t="n">
        <f aca="false">-('Balance Sheet'!I34-'Balance Sheet'!H34)</f>
        <v>-276705.4185675</v>
      </c>
      <c r="J11" s="25" t="n">
        <f aca="false">-('Balance Sheet'!J34-'Balance Sheet'!I34)</f>
        <v>-290546.704831061</v>
      </c>
      <c r="K11" s="25" t="n">
        <f aca="false">-('Balance Sheet'!K34-'Balance Sheet'!J34)</f>
        <v>-317712.821732766</v>
      </c>
    </row>
    <row r="12" customFormat="false" ht="15" hidden="false" customHeight="true" outlineLevel="0" collapsed="false">
      <c r="A12" s="24" t="s">
        <v>241</v>
      </c>
      <c r="B12" s="22" t="n">
        <v>0</v>
      </c>
      <c r="C12" s="25" t="n">
        <f aca="false">-('Balance Sheet'!C39-'Balance Sheet'!B39)</f>
        <v>-469894.3846346</v>
      </c>
      <c r="D12" s="25" t="n">
        <f aca="false">-('Balance Sheet'!D39-'Balance Sheet'!C39)</f>
        <v>-522141.39792</v>
      </c>
      <c r="E12" s="25" t="n">
        <f aca="false">-('Balance Sheet'!E39-'Balance Sheet'!D39)</f>
        <v>-443558.493</v>
      </c>
      <c r="F12" s="25" t="n">
        <f aca="false">-('Balance Sheet'!F39-'Balance Sheet'!E39)</f>
        <v>-713526.29676</v>
      </c>
      <c r="G12" s="25" t="n">
        <f aca="false">-('Balance Sheet'!G39-'Balance Sheet'!F39)</f>
        <v>-703472.976786375</v>
      </c>
      <c r="H12" s="25" t="n">
        <f aca="false">-('Balance Sheet'!H39-'Balance Sheet'!G39)</f>
        <v>-766844.904546744</v>
      </c>
      <c r="I12" s="25" t="n">
        <f aca="false">-('Balance Sheet'!I39-'Balance Sheet'!H39)</f>
        <v>-837065.775577029</v>
      </c>
      <c r="J12" s="25" t="n">
        <f aca="false">-('Balance Sheet'!J39-'Balance Sheet'!I39)</f>
        <v>-918950.365744487</v>
      </c>
      <c r="K12" s="25" t="n">
        <f aca="false">-('Balance Sheet'!K39-'Balance Sheet'!J39)</f>
        <v>-999890.54664657</v>
      </c>
    </row>
    <row r="13" customFormat="false" ht="15" hidden="false" customHeight="true" outlineLevel="0" collapsed="false">
      <c r="A13" s="24" t="s">
        <v>242</v>
      </c>
      <c r="B13" s="22" t="n">
        <v>0</v>
      </c>
      <c r="C13" s="25" t="n">
        <f aca="false">'Balance Sheet'!C15-'Balance Sheet'!B15</f>
        <v>417006</v>
      </c>
      <c r="D13" s="25" t="n">
        <f aca="false">'Balance Sheet'!D15-'Balance Sheet'!C15</f>
        <v>498000</v>
      </c>
      <c r="E13" s="25" t="n">
        <f aca="false">'Balance Sheet'!E15-'Balance Sheet'!D15</f>
        <v>415460</v>
      </c>
      <c r="F13" s="25" t="n">
        <f aca="false">'Balance Sheet'!F15-'Balance Sheet'!E15</f>
        <v>593000</v>
      </c>
      <c r="G13" s="25" t="n">
        <f aca="false">'Balance Sheet'!G15-'Balance Sheet'!F15</f>
        <v>717000.000000001</v>
      </c>
      <c r="H13" s="25" t="n">
        <f aca="false">'Balance Sheet'!H15-'Balance Sheet'!G15</f>
        <v>769580</v>
      </c>
      <c r="I13" s="25" t="n">
        <f aca="false">'Balance Sheet'!I15-'Balance Sheet'!H15</f>
        <v>858081.7</v>
      </c>
      <c r="J13" s="25" t="n">
        <f aca="false">'Balance Sheet'!J15-'Balance Sheet'!I15</f>
        <v>915162.787000001</v>
      </c>
      <c r="K13" s="25" t="n">
        <f aca="false">'Balance Sheet'!K15-'Balance Sheet'!J15</f>
        <v>1015830.69357</v>
      </c>
    </row>
    <row r="14" customFormat="false" ht="15" hidden="false" customHeight="true" outlineLevel="0" collapsed="false">
      <c r="A14" s="24" t="s">
        <v>243</v>
      </c>
      <c r="B14" s="22" t="n">
        <v>0</v>
      </c>
      <c r="C14" s="25" t="n">
        <f aca="false">('Balance Sheet'!C24-'Balance Sheet'!B24)-('Balance Sheet'!C45-'Balance Sheet'!B45)</f>
        <v>301384.431544599</v>
      </c>
      <c r="D14" s="25" t="n">
        <f aca="false">('Balance Sheet'!D24-'Balance Sheet'!C24)-('Balance Sheet'!D45-'Balance Sheet'!C45)</f>
        <v>180392.243052</v>
      </c>
      <c r="E14" s="25" t="n">
        <f aca="false">('Balance Sheet'!E24-'Balance Sheet'!D24)-('Balance Sheet'!E45-'Balance Sheet'!D45)</f>
        <v>65279.1869400004</v>
      </c>
      <c r="F14" s="25" t="n">
        <f aca="false">('Balance Sheet'!F24-'Balance Sheet'!E24)-('Balance Sheet'!F45-'Balance Sheet'!E45)</f>
        <v>155859.547242</v>
      </c>
      <c r="G14" s="25" t="n">
        <f aca="false">('Balance Sheet'!G24-'Balance Sheet'!F24)-('Balance Sheet'!G45-'Balance Sheet'!F45)</f>
        <v>140324.976408878</v>
      </c>
      <c r="H14" s="25" t="n">
        <f aca="false">('Balance Sheet'!H24-'Balance Sheet'!G24)-('Balance Sheet'!H45-'Balance Sheet'!G45)</f>
        <v>162644.960860522</v>
      </c>
      <c r="I14" s="25" t="n">
        <f aca="false">('Balance Sheet'!I24-'Balance Sheet'!H24)-('Balance Sheet'!I45-'Balance Sheet'!H45)</f>
        <v>146827.874474842</v>
      </c>
      <c r="J14" s="25" t="n">
        <f aca="false">('Balance Sheet'!J24-'Balance Sheet'!I24)-('Balance Sheet'!J45-'Balance Sheet'!I45)</f>
        <v>163025.091119207</v>
      </c>
      <c r="K14" s="25" t="n">
        <f aca="false">('Balance Sheet'!K24-'Balance Sheet'!J24)-('Balance Sheet'!K45-'Balance Sheet'!J45)</f>
        <v>148696.629154629</v>
      </c>
    </row>
    <row r="15" customFormat="false" ht="15" hidden="false" customHeight="true" outlineLevel="0" collapsed="false">
      <c r="A15" s="26" t="s">
        <v>244</v>
      </c>
      <c r="B15" s="27" t="n">
        <f aca="false">B8+B9+B10+B11+B12+B13+B14</f>
        <v>74222.038</v>
      </c>
      <c r="C15" s="27" t="n">
        <f aca="false">C8+C9+C10+C11+C12+C13+C14</f>
        <v>42186.5169099991</v>
      </c>
      <c r="D15" s="27" t="n">
        <f aca="false">D8+D9+D10+D11+D12+D13+D14</f>
        <v>60616.5361320003</v>
      </c>
      <c r="E15" s="27" t="n">
        <f aca="false">E8+E9+E10+E11+E12+E13+E14</f>
        <v>55462.5389400006</v>
      </c>
      <c r="F15" s="27" t="n">
        <f aca="false">F8+F9+F10+F11+F12+F13+F14</f>
        <v>28040.4289819995</v>
      </c>
      <c r="G15" s="27" t="n">
        <f aca="false">G8+G9+G10+G11+G12+G13+G14</f>
        <v>59189.7408975042</v>
      </c>
      <c r="H15" s="27" t="n">
        <f aca="false">H8+H9+H10+H11+H12+H13+H14</f>
        <v>92844.875922778</v>
      </c>
      <c r="I15" s="27" t="n">
        <f aca="false">I8+I9+I10+I11+I12+I13+I14</f>
        <v>112347.713458249</v>
      </c>
      <c r="J15" s="27" t="n">
        <f aca="false">J8+J9+J10+J11+J12+J13+J14</f>
        <v>126693.252278186</v>
      </c>
      <c r="K15" s="27" t="n">
        <f aca="false">K8+K9+K10+K11+K12+K13+K14</f>
        <v>142775.042751499</v>
      </c>
    </row>
    <row r="16" customFormat="false" ht="15" hidden="false" customHeight="true" outlineLevel="0" collapsed="false">
      <c r="A16" s="24" t="s">
        <v>245</v>
      </c>
      <c r="B16" s="25" t="n">
        <f aca="false">-'Income Statement'!B49</f>
        <v>-14887.05216</v>
      </c>
      <c r="C16" s="25" t="n">
        <f aca="false">-'Income Statement'!C49</f>
        <v>-17001.71891</v>
      </c>
      <c r="D16" s="25" t="n">
        <f aca="false">-'Income Statement'!D49</f>
        <v>-20589.834132</v>
      </c>
      <c r="E16" s="25" t="n">
        <f aca="false">-'Income Statement'!E49</f>
        <v>-23872.42494</v>
      </c>
      <c r="F16" s="25" t="n">
        <f aca="false">-'Income Statement'!F49</f>
        <v>-26965.808982</v>
      </c>
      <c r="G16" s="25" t="n">
        <f aca="false">-'Income Statement'!G49</f>
        <v>-27845.31778182</v>
      </c>
      <c r="H16" s="25" t="n">
        <f aca="false">-'Income Statement'!H49</f>
        <v>-35717.5875352162</v>
      </c>
      <c r="I16" s="25" t="n">
        <f aca="false">-'Income Statement'!I49</f>
        <v>-44491.690593617</v>
      </c>
      <c r="J16" s="25" t="n">
        <f aca="false">-'Income Statement'!J49</f>
        <v>-52421.6395724283</v>
      </c>
      <c r="K16" s="25" t="n">
        <f aca="false">-'Income Statement'!K49</f>
        <v>-60496.6012322721</v>
      </c>
    </row>
    <row r="17" customFormat="false" ht="15" hidden="false" customHeight="true" outlineLevel="0" collapsed="false">
      <c r="A17" s="26" t="s">
        <v>246</v>
      </c>
      <c r="B17" s="27" t="n">
        <f aca="false">B15+B16</f>
        <v>59334.98584</v>
      </c>
      <c r="C17" s="27" t="n">
        <f aca="false">C15+C16</f>
        <v>25184.7979999991</v>
      </c>
      <c r="D17" s="27" t="n">
        <f aca="false">D15+D16</f>
        <v>40026.7020000003</v>
      </c>
      <c r="E17" s="27" t="n">
        <f aca="false">E15+E16</f>
        <v>31590.1140000006</v>
      </c>
      <c r="F17" s="27" t="n">
        <f aca="false">F15+F16</f>
        <v>1074.61999999951</v>
      </c>
      <c r="G17" s="27" t="n">
        <f aca="false">G15+G16</f>
        <v>31344.4231156842</v>
      </c>
      <c r="H17" s="27" t="n">
        <f aca="false">H15+H16</f>
        <v>57127.2883875619</v>
      </c>
      <c r="I17" s="27" t="n">
        <f aca="false">I15+I16</f>
        <v>67856.0228646318</v>
      </c>
      <c r="J17" s="27" t="n">
        <f aca="false">J15+J16</f>
        <v>74271.6127057574</v>
      </c>
      <c r="K17" s="27" t="n">
        <f aca="false">K15+K16</f>
        <v>82278.4415192264</v>
      </c>
    </row>
    <row r="19" customFormat="false" ht="16.5" hidden="false" customHeight="true" outlineLevel="0" collapsed="false">
      <c r="A19" s="18" t="s">
        <v>247</v>
      </c>
      <c r="B19" s="18"/>
      <c r="C19" s="18"/>
      <c r="D19" s="18"/>
      <c r="E19" s="18"/>
      <c r="F19" s="18"/>
      <c r="G19" s="18"/>
      <c r="H19" s="18"/>
      <c r="I19" s="18"/>
      <c r="J19" s="18"/>
      <c r="K19" s="18"/>
    </row>
    <row r="20" customFormat="false" ht="15" hidden="false" customHeight="true" outlineLevel="0" collapsed="false">
      <c r="A20" s="24" t="s">
        <v>248</v>
      </c>
      <c r="B20" s="22" t="n">
        <v>0</v>
      </c>
      <c r="C20" s="25" t="n">
        <f aca="false">-('Balance Sheet'!C44-'Balance Sheet'!B44+'Income Statement'!C33)</f>
        <v>-5400</v>
      </c>
      <c r="D20" s="25" t="n">
        <f aca="false">-('Balance Sheet'!D44-'Balance Sheet'!C44+'Income Statement'!D33)</f>
        <v>-6000</v>
      </c>
      <c r="E20" s="25" t="n">
        <f aca="false">-('Balance Sheet'!E44-'Balance Sheet'!D44+'Income Statement'!E33)</f>
        <v>-6500</v>
      </c>
      <c r="F20" s="25" t="n">
        <f aca="false">-('Balance Sheet'!F44-'Balance Sheet'!E44+'Income Statement'!F33)</f>
        <v>-7300</v>
      </c>
      <c r="G20" s="25" t="n">
        <f aca="false">-('Balance Sheet'!G44-'Balance Sheet'!F44+'Income Statement'!G33)</f>
        <v>-8121</v>
      </c>
      <c r="H20" s="25" t="n">
        <f aca="false">-('Balance Sheet'!H44-'Balance Sheet'!G44+'Income Statement'!H33)</f>
        <v>-8866.71</v>
      </c>
      <c r="I20" s="25" t="n">
        <f aca="false">-('Balance Sheet'!I44-'Balance Sheet'!H44+'Income Statement'!I33)</f>
        <v>-9687.0681</v>
      </c>
      <c r="J20" s="25" t="n">
        <f aca="false">-('Balance Sheet'!J44-'Balance Sheet'!I44+'Income Statement'!J33)</f>
        <v>-10520.16741</v>
      </c>
      <c r="K20" s="25" t="n">
        <f aca="false">-('Balance Sheet'!K44-'Balance Sheet'!J44+'Income Statement'!K33)</f>
        <v>-11429.796276</v>
      </c>
    </row>
    <row r="21" customFormat="false" ht="15" hidden="false" customHeight="true" outlineLevel="0" collapsed="false">
      <c r="A21" s="24" t="s">
        <v>249</v>
      </c>
      <c r="B21" s="22" t="n">
        <v>-1200</v>
      </c>
      <c r="C21" s="22" t="n">
        <v>-1200</v>
      </c>
      <c r="D21" s="22" t="n">
        <v>-1200</v>
      </c>
      <c r="E21" s="22" t="n">
        <v>-1200</v>
      </c>
      <c r="F21" s="22" t="n">
        <v>-1200</v>
      </c>
      <c r="G21" s="22" t="n">
        <v>-1200</v>
      </c>
      <c r="H21" s="22" t="n">
        <v>-1200</v>
      </c>
      <c r="I21" s="22" t="n">
        <v>-1200</v>
      </c>
      <c r="J21" s="22" t="n">
        <v>-1200</v>
      </c>
      <c r="K21" s="22" t="n">
        <v>-1200</v>
      </c>
    </row>
    <row r="22" customFormat="false" ht="15" hidden="false" customHeight="true" outlineLevel="0" collapsed="false">
      <c r="A22" s="26" t="s">
        <v>250</v>
      </c>
      <c r="B22" s="27" t="n">
        <f aca="false">B20+B21</f>
        <v>-1200</v>
      </c>
      <c r="C22" s="27" t="n">
        <f aca="false">C20+C21</f>
        <v>-6600</v>
      </c>
      <c r="D22" s="27" t="n">
        <f aca="false">D20+D21</f>
        <v>-7200</v>
      </c>
      <c r="E22" s="27" t="n">
        <f aca="false">E20+E21</f>
        <v>-7700</v>
      </c>
      <c r="F22" s="27" t="n">
        <f aca="false">F20+F21</f>
        <v>-8500</v>
      </c>
      <c r="G22" s="27" t="n">
        <f aca="false">G20+G21</f>
        <v>-9321</v>
      </c>
      <c r="H22" s="27" t="n">
        <f aca="false">H20+H21</f>
        <v>-10066.71</v>
      </c>
      <c r="I22" s="27" t="n">
        <f aca="false">I20+I21</f>
        <v>-10887.0681</v>
      </c>
      <c r="J22" s="27" t="n">
        <f aca="false">J20+J21</f>
        <v>-11720.16741</v>
      </c>
      <c r="K22" s="27" t="n">
        <f aca="false">K20+K21</f>
        <v>-12629.796276</v>
      </c>
    </row>
    <row r="24" customFormat="false" ht="16.5" hidden="false" customHeight="true" outlineLevel="0" collapsed="false">
      <c r="A24" s="18" t="s">
        <v>251</v>
      </c>
      <c r="B24" s="18"/>
      <c r="C24" s="18"/>
      <c r="D24" s="18"/>
      <c r="E24" s="18"/>
      <c r="F24" s="18"/>
      <c r="G24" s="18"/>
      <c r="H24" s="18"/>
      <c r="I24" s="18"/>
      <c r="J24" s="18"/>
      <c r="K24" s="18"/>
    </row>
    <row r="25" customFormat="false" ht="15" hidden="false" customHeight="true" outlineLevel="0" collapsed="false">
      <c r="A25" s="24" t="s">
        <v>252</v>
      </c>
      <c r="B25" s="22" t="n">
        <v>0</v>
      </c>
      <c r="C25" s="22" t="n">
        <v>0</v>
      </c>
      <c r="D25" s="22" t="n">
        <v>0</v>
      </c>
      <c r="E25" s="22" t="n">
        <v>0</v>
      </c>
      <c r="F25" s="22" t="n">
        <v>25000</v>
      </c>
      <c r="G25" s="22" t="n">
        <v>0</v>
      </c>
      <c r="H25" s="22" t="n">
        <v>0</v>
      </c>
      <c r="I25" s="22" t="n">
        <v>0</v>
      </c>
      <c r="J25" s="22" t="n">
        <v>0</v>
      </c>
      <c r="K25" s="22" t="n">
        <v>0</v>
      </c>
    </row>
    <row r="26" customFormat="false" ht="15" hidden="false" customHeight="true" outlineLevel="0" collapsed="false">
      <c r="A26" s="24" t="s">
        <v>253</v>
      </c>
      <c r="B26" s="22" t="n">
        <v>0</v>
      </c>
      <c r="C26" s="25" t="n">
        <f aca="false">'Balance Sheet'!C22-'Balance Sheet'!B22</f>
        <v>28000</v>
      </c>
      <c r="D26" s="25" t="n">
        <f aca="false">'Balance Sheet'!D22-'Balance Sheet'!C22</f>
        <v>32000</v>
      </c>
      <c r="E26" s="25" t="n">
        <f aca="false">'Balance Sheet'!E22-'Balance Sheet'!D22</f>
        <v>37000</v>
      </c>
      <c r="F26" s="25" t="n">
        <f aca="false">'Balance Sheet'!F22-'Balance Sheet'!E22</f>
        <v>55000</v>
      </c>
      <c r="G26" s="25" t="n">
        <f aca="false">'Balance Sheet'!G22-'Balance Sheet'!F22</f>
        <v>48340</v>
      </c>
      <c r="H26" s="25" t="n">
        <f aca="false">'Balance Sheet'!H22-'Balance Sheet'!G22</f>
        <v>54605.4</v>
      </c>
      <c r="I26" s="25" t="n">
        <f aca="false">'Balance Sheet'!I22-'Balance Sheet'!H22</f>
        <v>61702.194</v>
      </c>
      <c r="J26" s="25" t="n">
        <f aca="false">'Balance Sheet'!J22-'Balance Sheet'!I22</f>
        <v>69743.1653400001</v>
      </c>
      <c r="K26" s="25" t="n">
        <f aca="false">'Balance Sheet'!K22-'Balance Sheet'!J22</f>
        <v>78856.7030274</v>
      </c>
    </row>
    <row r="27" customFormat="false" ht="15" hidden="false" customHeight="true" outlineLevel="0" collapsed="false">
      <c r="A27" s="24" t="s">
        <v>254</v>
      </c>
      <c r="B27" s="25" t="n">
        <f aca="false">-'Income Statement'!B60*'Income Statement'!B56</f>
        <v>-6336.466</v>
      </c>
      <c r="C27" s="25" t="n">
        <f aca="false">-'Income Statement'!C60*'Income Statement'!C56</f>
        <v>-10084.798</v>
      </c>
      <c r="D27" s="25" t="n">
        <f aca="false">-'Income Statement'!D60*'Income Statement'!D56</f>
        <v>-12226.702</v>
      </c>
      <c r="E27" s="25" t="n">
        <f aca="false">-'Income Statement'!E60*'Income Statement'!E56</f>
        <v>-14190.114</v>
      </c>
      <c r="F27" s="25" t="n">
        <f aca="false">-'Income Statement'!F60*'Income Statement'!F56</f>
        <v>-15774.62</v>
      </c>
      <c r="G27" s="25" t="n">
        <f aca="false">-'Income Statement'!G60*'Income Statement'!G56</f>
        <v>-17770.1746256837</v>
      </c>
      <c r="H27" s="25" t="n">
        <f aca="false">-'Income Statement'!H60*'Income Statement'!H56</f>
        <v>-22794.0572516407</v>
      </c>
      <c r="I27" s="25" t="n">
        <f aca="false">-'Income Statement'!I60*'Income Statement'!I56</f>
        <v>-28393.4669891488</v>
      </c>
      <c r="J27" s="25" t="n">
        <f aca="false">-'Income Statement'!J60*'Income Statement'!J56</f>
        <v>-33454.1590318965</v>
      </c>
      <c r="K27" s="25" t="n">
        <f aca="false">-'Income Statement'!K60*'Income Statement'!K56</f>
        <v>-38607.3944848174</v>
      </c>
    </row>
    <row r="28" customFormat="false" ht="15" hidden="false" customHeight="true" outlineLevel="0" collapsed="false">
      <c r="A28" s="26" t="s">
        <v>255</v>
      </c>
      <c r="B28" s="27" t="n">
        <f aca="false">B25+B26+B27</f>
        <v>-6336.466</v>
      </c>
      <c r="C28" s="27" t="n">
        <f aca="false">C25+C26+C27</f>
        <v>17915.202</v>
      </c>
      <c r="D28" s="27" t="n">
        <f aca="false">D25+D26+D27</f>
        <v>19773.298</v>
      </c>
      <c r="E28" s="27" t="n">
        <f aca="false">E25+E26+E27</f>
        <v>22809.886</v>
      </c>
      <c r="F28" s="27" t="n">
        <f aca="false">F25+F26+F27</f>
        <v>64225.38</v>
      </c>
      <c r="G28" s="27" t="n">
        <f aca="false">G25+G26+G27</f>
        <v>30569.8253743163</v>
      </c>
      <c r="H28" s="27" t="n">
        <f aca="false">H25+H26+H27</f>
        <v>31811.3427483593</v>
      </c>
      <c r="I28" s="27" t="n">
        <f aca="false">I25+I26+I27</f>
        <v>33308.7270108513</v>
      </c>
      <c r="J28" s="27" t="n">
        <f aca="false">J25+J26+J27</f>
        <v>36289.0063081036</v>
      </c>
      <c r="K28" s="27" t="n">
        <f aca="false">K25+K26+K27</f>
        <v>40249.3085425825</v>
      </c>
    </row>
    <row r="30" customFormat="false" ht="15" hidden="false" customHeight="true" outlineLevel="0" collapsed="false">
      <c r="A30" s="26" t="s">
        <v>256</v>
      </c>
      <c r="B30" s="27" t="n">
        <f aca="false">B17+B22+B28</f>
        <v>51798.51984</v>
      </c>
      <c r="C30" s="27" t="n">
        <f aca="false">C17+C22+C28</f>
        <v>36499.9999999991</v>
      </c>
      <c r="D30" s="27" t="n">
        <f aca="false">D17+D22+D28</f>
        <v>52600.0000000003</v>
      </c>
      <c r="E30" s="27" t="n">
        <f aca="false">E17+E22+E28</f>
        <v>46700.0000000006</v>
      </c>
      <c r="F30" s="27" t="n">
        <f aca="false">F17+F22+F28</f>
        <v>56799.9999999995</v>
      </c>
      <c r="G30" s="27" t="n">
        <f aca="false">G17+G22+G28</f>
        <v>52593.2484900005</v>
      </c>
      <c r="H30" s="27" t="n">
        <f aca="false">H17+H22+H28</f>
        <v>78871.9211359212</v>
      </c>
      <c r="I30" s="27" t="n">
        <f aca="false">I17+I22+I28</f>
        <v>90277.6817754831</v>
      </c>
      <c r="J30" s="27" t="n">
        <f aca="false">J17+J22+J28</f>
        <v>98840.451603861</v>
      </c>
      <c r="K30" s="27" t="n">
        <f aca="false">K17+K22+K28</f>
        <v>109897.953785809</v>
      </c>
    </row>
    <row r="31" customFormat="false" ht="15" hidden="false" customHeight="true" outlineLevel="0" collapsed="false">
      <c r="A31" s="24" t="s">
        <v>257</v>
      </c>
      <c r="B31" s="22" t="n">
        <v>175000</v>
      </c>
      <c r="C31" s="25" t="n">
        <f aca="false">'Balance Sheet'!B29+'Balance Sheet'!B30</f>
        <v>293000</v>
      </c>
      <c r="D31" s="25" t="n">
        <f aca="false">'Balance Sheet'!C29+'Balance Sheet'!C30</f>
        <v>315000</v>
      </c>
      <c r="E31" s="25" t="n">
        <f aca="false">'Balance Sheet'!D29+'Balance Sheet'!D30</f>
        <v>353000</v>
      </c>
      <c r="F31" s="25" t="n">
        <f aca="false">'Balance Sheet'!E29+'Balance Sheet'!E30</f>
        <v>387000</v>
      </c>
      <c r="G31" s="25" t="n">
        <f aca="false">'Balance Sheet'!F29+'Balance Sheet'!F30</f>
        <v>430000</v>
      </c>
      <c r="H31" s="25" t="n">
        <f aca="false">'Balance Sheet'!G29+'Balance Sheet'!G30</f>
        <v>455920</v>
      </c>
      <c r="I31" s="25" t="n">
        <f aca="false">'Balance Sheet'!H29+'Balance Sheet'!H30</f>
        <v>504481.3</v>
      </c>
      <c r="J31" s="25" t="n">
        <f aca="false">'Balance Sheet'!I29+'Balance Sheet'!I30</f>
        <v>558278.8945</v>
      </c>
      <c r="K31" s="25" t="n">
        <f aca="false">'Balance Sheet'!J29+'Balance Sheet'!J30</f>
        <v>616011.690535</v>
      </c>
    </row>
    <row r="32" customFormat="false" ht="15" hidden="false" customHeight="true" outlineLevel="0" collapsed="false">
      <c r="A32" s="26" t="s">
        <v>258</v>
      </c>
      <c r="B32" s="27" t="n">
        <f aca="false">B30+B31</f>
        <v>226798.51984</v>
      </c>
      <c r="C32" s="27" t="n">
        <f aca="false">C30+C31</f>
        <v>329499.999999999</v>
      </c>
      <c r="D32" s="27" t="n">
        <f aca="false">D30+D31</f>
        <v>367600</v>
      </c>
      <c r="E32" s="27" t="n">
        <f aca="false">E30+E31</f>
        <v>399700.000000001</v>
      </c>
      <c r="F32" s="27" t="n">
        <f aca="false">F30+F31</f>
        <v>443800</v>
      </c>
      <c r="G32" s="27" t="n">
        <f aca="false">G30+G31</f>
        <v>482593.248490001</v>
      </c>
      <c r="H32" s="27" t="n">
        <f aca="false">H30+H31</f>
        <v>534791.921135921</v>
      </c>
      <c r="I32" s="27" t="n">
        <f aca="false">I30+I31</f>
        <v>594758.981775483</v>
      </c>
      <c r="J32" s="27" t="n">
        <f aca="false">J30+J31</f>
        <v>657119.346103861</v>
      </c>
      <c r="K32" s="27" t="n">
        <f aca="false">K30+K31</f>
        <v>725909.644320809</v>
      </c>
    </row>
    <row r="33" customFormat="false" ht="15" hidden="false" customHeight="true" outlineLevel="0" collapsed="false">
      <c r="A33" s="28" t="s">
        <v>259</v>
      </c>
      <c r="B33" s="25" t="n">
        <f aca="false">'Balance Sheet'!B29+'Balance Sheet'!B30</f>
        <v>293000</v>
      </c>
      <c r="C33" s="25" t="n">
        <f aca="false">'Balance Sheet'!C29+'Balance Sheet'!C30</f>
        <v>315000</v>
      </c>
      <c r="D33" s="25" t="n">
        <f aca="false">'Balance Sheet'!D29+'Balance Sheet'!D30</f>
        <v>353000</v>
      </c>
      <c r="E33" s="25" t="n">
        <f aca="false">'Balance Sheet'!E29+'Balance Sheet'!E30</f>
        <v>387000</v>
      </c>
      <c r="F33" s="25" t="n">
        <f aca="false">'Balance Sheet'!F29+'Balance Sheet'!F30</f>
        <v>430000</v>
      </c>
      <c r="G33" s="25" t="n">
        <f aca="false">'Balance Sheet'!G29+'Balance Sheet'!G30</f>
        <v>455920</v>
      </c>
      <c r="H33" s="25" t="n">
        <f aca="false">'Balance Sheet'!H29+'Balance Sheet'!H30</f>
        <v>504481.3</v>
      </c>
      <c r="I33" s="25" t="n">
        <f aca="false">'Balance Sheet'!I29+'Balance Sheet'!I30</f>
        <v>558278.8945</v>
      </c>
      <c r="J33" s="25" t="n">
        <f aca="false">'Balance Sheet'!J29+'Balance Sheet'!J30</f>
        <v>616011.690535</v>
      </c>
      <c r="K33" s="25" t="n">
        <f aca="false">'Balance Sheet'!K29+'Balance Sheet'!K30</f>
        <v>679764.08472145</v>
      </c>
    </row>
  </sheetData>
  <mergeCells count="6">
    <mergeCell ref="A1:K1"/>
    <mergeCell ref="A2:K2"/>
    <mergeCell ref="A4:K4"/>
    <mergeCell ref="A10:K10"/>
    <mergeCell ref="A19:K19"/>
    <mergeCell ref="A24:K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4" min="2" style="1" width="16"/>
    <col collapsed="false" customWidth="true" hidden="false" outlineLevel="0" max="11" min="5" style="1" width="13.5"/>
  </cols>
  <sheetData>
    <row r="1" customFormat="false" ht="25.5" hidden="false" customHeight="true" outlineLevel="0" collapsed="false">
      <c r="A1" s="13" t="s">
        <v>260</v>
      </c>
      <c r="B1" s="13"/>
      <c r="C1" s="13"/>
      <c r="D1" s="13"/>
    </row>
    <row r="2" customFormat="false" ht="27.75" hidden="false" customHeight="true" outlineLevel="0" collapsed="false">
      <c r="A2" s="14" t="s">
        <v>261</v>
      </c>
      <c r="B2" s="14"/>
      <c r="C2" s="14"/>
      <c r="D2" s="14"/>
    </row>
    <row r="3" customFormat="false" ht="18" hidden="false" customHeight="true" outlineLevel="0" collapsed="false">
      <c r="B3" s="49" t="s">
        <v>262</v>
      </c>
      <c r="C3" s="50" t="s">
        <v>263</v>
      </c>
      <c r="D3" s="51" t="s">
        <v>264</v>
      </c>
    </row>
    <row r="4" customFormat="false" ht="16.5" hidden="false" customHeight="true" outlineLevel="0" collapsed="false">
      <c r="A4" s="18" t="s">
        <v>265</v>
      </c>
      <c r="B4" s="18"/>
      <c r="C4" s="18"/>
      <c r="D4" s="18"/>
    </row>
    <row r="5" customFormat="false" ht="15" hidden="false" customHeight="true" outlineLevel="0" collapsed="false">
      <c r="A5" s="19" t="s">
        <v>266</v>
      </c>
      <c r="B5" s="21" t="n">
        <v>0.155</v>
      </c>
      <c r="C5" s="21" t="n">
        <v>0.128</v>
      </c>
      <c r="D5" s="21" t="n">
        <v>0.095</v>
      </c>
    </row>
    <row r="6" customFormat="false" ht="15" hidden="false" customHeight="true" outlineLevel="0" collapsed="false">
      <c r="A6" s="19" t="s">
        <v>267</v>
      </c>
      <c r="B6" s="20" t="n">
        <v>0.0335</v>
      </c>
      <c r="C6" s="20" t="n">
        <v>0.032</v>
      </c>
      <c r="D6" s="20" t="n">
        <v>0.029</v>
      </c>
    </row>
    <row r="7" customFormat="false" ht="15" hidden="false" customHeight="true" outlineLevel="0" collapsed="false">
      <c r="A7" s="19" t="s">
        <v>268</v>
      </c>
      <c r="B7" s="21" t="n">
        <v>0.14</v>
      </c>
      <c r="C7" s="21" t="n">
        <v>0.115</v>
      </c>
      <c r="D7" s="21" t="n">
        <v>0.08</v>
      </c>
    </row>
    <row r="8" customFormat="false" ht="15" hidden="false" customHeight="true" outlineLevel="0" collapsed="false">
      <c r="A8" s="19" t="s">
        <v>269</v>
      </c>
      <c r="B8" s="21" t="n">
        <v>0.46</v>
      </c>
      <c r="C8" s="21" t="n">
        <v>0.485</v>
      </c>
      <c r="D8" s="21" t="n">
        <v>0.52</v>
      </c>
    </row>
    <row r="9" customFormat="false" ht="15" hidden="false" customHeight="true" outlineLevel="0" collapsed="false">
      <c r="A9" s="19" t="s">
        <v>270</v>
      </c>
      <c r="B9" s="20" t="n">
        <v>0.0035</v>
      </c>
      <c r="C9" s="20" t="n">
        <v>0.0045</v>
      </c>
      <c r="D9" s="20" t="n">
        <v>0.0075</v>
      </c>
    </row>
    <row r="10" customFormat="false" ht="15" hidden="false" customHeight="true" outlineLevel="0" collapsed="false">
      <c r="A10" s="19" t="s">
        <v>271</v>
      </c>
      <c r="B10" s="21" t="n">
        <v>0.252</v>
      </c>
      <c r="C10" s="21" t="n">
        <v>0.252</v>
      </c>
      <c r="D10" s="21" t="n">
        <v>0.252</v>
      </c>
    </row>
    <row r="12" customFormat="false" ht="16.5" hidden="false" customHeight="true" outlineLevel="0" collapsed="false">
      <c r="A12" s="18" t="s">
        <v>272</v>
      </c>
      <c r="B12" s="18"/>
      <c r="C12" s="18"/>
      <c r="D12" s="18"/>
    </row>
    <row r="13" customFormat="false" ht="15" hidden="false" customHeight="true" outlineLevel="0" collapsed="false">
      <c r="A13" s="19" t="s">
        <v>273</v>
      </c>
      <c r="B13" s="25" t="n">
        <f aca="false">'Balance Sheet'!F36*(1+B5)^5</f>
        <v>10137549.5292023</v>
      </c>
      <c r="C13" s="25" t="n">
        <f aca="false">'Balance Sheet'!F36*(1+C5)^5</f>
        <v>9006759.4972146</v>
      </c>
      <c r="D13" s="25" t="n">
        <f aca="false">'Balance Sheet'!F36*(1+D5)^5</f>
        <v>7764145.47028834</v>
      </c>
    </row>
    <row r="14" customFormat="false" ht="15" hidden="false" customHeight="true" outlineLevel="0" collapsed="false">
      <c r="A14" s="19" t="s">
        <v>274</v>
      </c>
      <c r="B14" s="32" t="n">
        <f aca="false">B13*B6</f>
        <v>339607.909228277</v>
      </c>
      <c r="C14" s="32" t="n">
        <f aca="false">C13*C6</f>
        <v>288216.303910867</v>
      </c>
      <c r="D14" s="32" t="n">
        <f aca="false">D13*D6</f>
        <v>225160.218638362</v>
      </c>
    </row>
    <row r="15" customFormat="false" ht="15" hidden="false" customHeight="true" outlineLevel="0" collapsed="false">
      <c r="A15" s="19" t="s">
        <v>275</v>
      </c>
      <c r="B15" s="25" t="n">
        <f aca="false">'Revenue Model'!F65*(1+B7)^5</f>
        <v>158881.360510483</v>
      </c>
      <c r="C15" s="25" t="n">
        <f aca="false">'Revenue Model'!F65*(1+C7)^5</f>
        <v>142207.673113093</v>
      </c>
      <c r="D15" s="25" t="n">
        <f aca="false">'Revenue Model'!F65*(1+D7)^5</f>
        <v>121246.014241382</v>
      </c>
    </row>
    <row r="16" customFormat="false" ht="15" hidden="false" customHeight="true" outlineLevel="0" collapsed="false">
      <c r="A16" s="26" t="s">
        <v>276</v>
      </c>
      <c r="B16" s="27" t="n">
        <f aca="false">B14+B15</f>
        <v>498489.26973876</v>
      </c>
      <c r="C16" s="27" t="n">
        <f aca="false">C14+C15</f>
        <v>430423.97702396</v>
      </c>
      <c r="D16" s="27" t="n">
        <f aca="false">D14+D15</f>
        <v>346406.232879744</v>
      </c>
    </row>
    <row r="17" customFormat="false" ht="15" hidden="false" customHeight="true" outlineLevel="0" collapsed="false">
      <c r="A17" s="19" t="s">
        <v>277</v>
      </c>
      <c r="B17" s="32" t="n">
        <f aca="false">B16*B8</f>
        <v>229305.06407983</v>
      </c>
      <c r="C17" s="32" t="n">
        <f aca="false">C16*C8</f>
        <v>208755.62885662</v>
      </c>
      <c r="D17" s="32" t="n">
        <f aca="false">D16*D8</f>
        <v>180131.241097467</v>
      </c>
    </row>
    <row r="18" customFormat="false" ht="15" hidden="false" customHeight="true" outlineLevel="0" collapsed="false">
      <c r="A18" s="26" t="s">
        <v>278</v>
      </c>
      <c r="B18" s="27" t="n">
        <f aca="false">B16-B17</f>
        <v>269184.20565893</v>
      </c>
      <c r="C18" s="27" t="n">
        <f aca="false">C16-C17</f>
        <v>221668.348167339</v>
      </c>
      <c r="D18" s="27" t="n">
        <f aca="false">D16-D17</f>
        <v>166274.991782277</v>
      </c>
    </row>
    <row r="19" customFormat="false" ht="15" hidden="false" customHeight="true" outlineLevel="0" collapsed="false">
      <c r="A19" s="19" t="s">
        <v>279</v>
      </c>
      <c r="B19" s="32" t="n">
        <f aca="false">B13*B9</f>
        <v>35481.423352208</v>
      </c>
      <c r="C19" s="32" t="n">
        <f aca="false">C13*C9</f>
        <v>40530.4177374657</v>
      </c>
      <c r="D19" s="32" t="n">
        <f aca="false">D13*D9</f>
        <v>58231.0910271625</v>
      </c>
    </row>
    <row r="20" customFormat="false" ht="15" hidden="false" customHeight="true" outlineLevel="0" collapsed="false">
      <c r="A20" s="26" t="s">
        <v>280</v>
      </c>
      <c r="B20" s="27" t="n">
        <f aca="false">B18-B19</f>
        <v>233702.782306722</v>
      </c>
      <c r="C20" s="27" t="n">
        <f aca="false">C18-C19</f>
        <v>181137.930429874</v>
      </c>
      <c r="D20" s="27" t="n">
        <f aca="false">D18-D19</f>
        <v>108043.900755115</v>
      </c>
    </row>
    <row r="21" customFormat="false" ht="15" hidden="false" customHeight="true" outlineLevel="0" collapsed="false">
      <c r="A21" s="19" t="s">
        <v>281</v>
      </c>
      <c r="B21" s="32" t="n">
        <f aca="false">B20*B10</f>
        <v>58893.101141294</v>
      </c>
      <c r="C21" s="32" t="n">
        <f aca="false">C20*C10</f>
        <v>45646.7584683282</v>
      </c>
      <c r="D21" s="32" t="n">
        <f aca="false">D20*D10</f>
        <v>27227.0629902889</v>
      </c>
    </row>
    <row r="22" customFormat="false" ht="15" hidden="false" customHeight="true" outlineLevel="0" collapsed="false">
      <c r="A22" s="26" t="s">
        <v>282</v>
      </c>
      <c r="B22" s="27" t="n">
        <f aca="false">B20-B21</f>
        <v>174809.681165428</v>
      </c>
      <c r="C22" s="27" t="n">
        <f aca="false">C20-C21</f>
        <v>135491.171961545</v>
      </c>
      <c r="D22" s="27" t="n">
        <f aca="false">D20-D21</f>
        <v>80816.8377648258</v>
      </c>
    </row>
    <row r="23" customFormat="false" ht="15" hidden="false" customHeight="true" outlineLevel="0" collapsed="false">
      <c r="A23" s="19" t="s">
        <v>283</v>
      </c>
      <c r="B23" s="44" t="n">
        <f aca="false">B22/'Income Statement'!K56</f>
        <v>192.26757717271</v>
      </c>
      <c r="C23" s="44" t="n">
        <f aca="false">C22/'Income Statement'!K56</f>
        <v>149.022406468924</v>
      </c>
      <c r="D23" s="44" t="n">
        <f aca="false">D22/'Income Statement'!K56</f>
        <v>88.8878549987085</v>
      </c>
    </row>
    <row r="24" customFormat="false" ht="15" hidden="false" customHeight="true" outlineLevel="0" collapsed="false">
      <c r="A24" s="19" t="s">
        <v>284</v>
      </c>
      <c r="B24" s="36" t="n">
        <f aca="false">(B22/'Income Statement'!F51)^(1/5)-1</f>
        <v>0.169096052140039</v>
      </c>
      <c r="C24" s="36" t="n">
        <f aca="false">(C22/'Income Statement'!F51)^(1/5)-1</f>
        <v>0.111013401706219</v>
      </c>
      <c r="D24" s="36" t="n">
        <f aca="false">(D22/'Income Statement'!F51)^(1/5)-1</f>
        <v>0.00193020284924539</v>
      </c>
    </row>
    <row r="25" customFormat="false" ht="15" hidden="false" customHeight="true" outlineLevel="0" collapsed="false">
      <c r="A25" s="19" t="s">
        <v>285</v>
      </c>
      <c r="B25" s="36" t="n">
        <f aca="false">B22/'Balance Sheet'!K8</f>
        <v>0.178797836531442</v>
      </c>
      <c r="C25" s="36" t="n">
        <f aca="false">C22/'Balance Sheet'!K8</f>
        <v>0.138582304219801</v>
      </c>
      <c r="D25" s="36" t="n">
        <f aca="false">D22/'Balance Sheet'!K8</f>
        <v>0.082660614968967</v>
      </c>
    </row>
  </sheetData>
  <mergeCells count="4">
    <mergeCell ref="A1:D1"/>
    <mergeCell ref="A2:D2"/>
    <mergeCell ref="A4:D4"/>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3.5"/>
    <col collapsed="false" customWidth="true" hidden="false" outlineLevel="0" max="3" min="3" style="1" width="16"/>
    <col collapsed="false" customWidth="true" hidden="false" outlineLevel="0" max="11" min="4" style="1" width="13.5"/>
  </cols>
  <sheetData>
    <row r="1" customFormat="false" ht="25.5" hidden="false" customHeight="true" outlineLevel="0" collapsed="false">
      <c r="A1" s="13" t="s">
        <v>286</v>
      </c>
      <c r="B1" s="13"/>
      <c r="C1" s="13"/>
      <c r="D1" s="13"/>
      <c r="E1" s="13"/>
      <c r="F1" s="13"/>
      <c r="G1" s="13"/>
      <c r="H1" s="13"/>
      <c r="I1" s="13"/>
      <c r="J1" s="13"/>
      <c r="K1" s="13"/>
    </row>
    <row r="2" customFormat="false" ht="15.75" hidden="false" customHeight="true" outlineLevel="0" collapsed="false">
      <c r="A2" s="14" t="s">
        <v>287</v>
      </c>
      <c r="B2" s="14"/>
      <c r="C2" s="14"/>
      <c r="D2" s="14"/>
      <c r="E2" s="14"/>
      <c r="F2" s="14"/>
      <c r="G2" s="14"/>
      <c r="H2" s="14"/>
      <c r="I2" s="14"/>
      <c r="J2" s="14"/>
      <c r="K2" s="14"/>
    </row>
    <row r="3" customFormat="false" ht="18" hidden="false" customHeight="true" outlineLevel="0" collapsed="false">
      <c r="A3" s="15" t="s">
        <v>21</v>
      </c>
      <c r="B3" s="16" t="s">
        <v>22</v>
      </c>
      <c r="C3" s="16" t="s">
        <v>23</v>
      </c>
      <c r="D3" s="16" t="s">
        <v>24</v>
      </c>
      <c r="E3" s="16" t="s">
        <v>25</v>
      </c>
      <c r="F3" s="16" t="s">
        <v>26</v>
      </c>
      <c r="G3" s="17" t="s">
        <v>27</v>
      </c>
      <c r="H3" s="17" t="s">
        <v>28</v>
      </c>
      <c r="I3" s="17" t="s">
        <v>29</v>
      </c>
      <c r="J3" s="17" t="s">
        <v>30</v>
      </c>
      <c r="K3" s="17" t="s">
        <v>31</v>
      </c>
    </row>
    <row r="4" customFormat="false" ht="16.5" hidden="false" customHeight="true" outlineLevel="0" collapsed="false">
      <c r="A4" s="18" t="s">
        <v>288</v>
      </c>
      <c r="B4" s="18"/>
      <c r="C4" s="18"/>
      <c r="D4" s="18"/>
      <c r="E4" s="18"/>
      <c r="F4" s="18"/>
      <c r="G4" s="18"/>
      <c r="H4" s="18"/>
      <c r="I4" s="18"/>
      <c r="J4" s="18"/>
      <c r="K4" s="18"/>
    </row>
    <row r="5" customFormat="false" ht="15" hidden="false" customHeight="true" outlineLevel="0" collapsed="false">
      <c r="A5" s="24" t="s">
        <v>289</v>
      </c>
      <c r="B5" s="25" t="n">
        <f aca="false">'Income Statement'!B51</f>
        <v>31634.98584</v>
      </c>
      <c r="C5" s="25" t="n">
        <f aca="false">'Income Statement'!C51</f>
        <v>50198.75109</v>
      </c>
      <c r="D5" s="25" t="n">
        <f aca="false">'Income Statement'!D51</f>
        <v>61115.856868</v>
      </c>
      <c r="E5" s="25" t="n">
        <f aca="false">'Income Statement'!E51</f>
        <v>70859.42006</v>
      </c>
      <c r="F5" s="25" t="n">
        <f aca="false">'Income Statement'!F51</f>
        <v>80041.369518</v>
      </c>
      <c r="G5" s="25" t="n">
        <f aca="false">'Income Statement'!G51</f>
        <v>82651.97500318</v>
      </c>
      <c r="H5" s="25" t="n">
        <f aca="false">'Income Statement'!H51</f>
        <v>106018.870937864</v>
      </c>
      <c r="I5" s="25" t="n">
        <f aca="false">'Income Statement'!I51</f>
        <v>132062.637158831</v>
      </c>
      <c r="J5" s="25" t="n">
        <f aca="false">'Income Statement'!J51</f>
        <v>155600.739683239</v>
      </c>
      <c r="K5" s="25" t="n">
        <f aca="false">'Income Statement'!K51</f>
        <v>179569.27667357</v>
      </c>
    </row>
    <row r="6" customFormat="false" ht="15" hidden="false" customHeight="true" outlineLevel="0" collapsed="false">
      <c r="A6" s="24" t="s">
        <v>228</v>
      </c>
      <c r="B6" s="25" t="n">
        <f aca="false">'Balance Sheet'!B52</f>
        <v>1743629.72</v>
      </c>
      <c r="C6" s="25" t="n">
        <f aca="false">'Balance Sheet'!C52</f>
        <v>2026098</v>
      </c>
      <c r="D6" s="25" t="n">
        <f aca="false">'Balance Sheet'!D52</f>
        <v>2346247.4</v>
      </c>
      <c r="E6" s="25" t="n">
        <f aca="false">'Balance Sheet'!E52</f>
        <v>2617020</v>
      </c>
      <c r="F6" s="25" t="n">
        <f aca="false">'Balance Sheet'!F52</f>
        <v>3057840</v>
      </c>
      <c r="G6" s="25" t="n">
        <f aca="false">'Balance Sheet'!G52</f>
        <v>3497899.539</v>
      </c>
      <c r="H6" s="25" t="n">
        <f aca="false">'Balance Sheet'!H52</f>
        <v>3977636.739112</v>
      </c>
      <c r="I6" s="25" t="n">
        <f aca="false">'Balance Sheet'!I52</f>
        <v>4501488.62728932</v>
      </c>
      <c r="J6" s="25" t="n">
        <f aca="false">'Balance Sheet'!J52</f>
        <v>5077242.97186482</v>
      </c>
      <c r="K6" s="25" t="n">
        <f aca="false">'Balance Sheet'!K52</f>
        <v>5703709.15305552</v>
      </c>
    </row>
    <row r="7" customFormat="false" ht="15" hidden="false" customHeight="true" outlineLevel="0" collapsed="false">
      <c r="A7" s="24" t="s">
        <v>290</v>
      </c>
      <c r="B7" s="22" t="n">
        <v>0</v>
      </c>
      <c r="C7" s="32" t="n">
        <f aca="false">C6-B6</f>
        <v>282468.28</v>
      </c>
      <c r="D7" s="32" t="n">
        <f aca="false">D6-C6</f>
        <v>320149.4</v>
      </c>
      <c r="E7" s="32" t="n">
        <f aca="false">E6-D6</f>
        <v>270772.6</v>
      </c>
      <c r="F7" s="32" t="n">
        <f aca="false">F6-E6</f>
        <v>440820</v>
      </c>
      <c r="G7" s="32" t="n">
        <f aca="false">G6-F6</f>
        <v>440059.539</v>
      </c>
      <c r="H7" s="32" t="n">
        <f aca="false">H6-G6</f>
        <v>479737.200112</v>
      </c>
      <c r="I7" s="32" t="n">
        <f aca="false">I6-H6</f>
        <v>523851.88817732</v>
      </c>
      <c r="J7" s="32" t="n">
        <f aca="false">J6-I6</f>
        <v>575754.344575505</v>
      </c>
      <c r="K7" s="32" t="n">
        <f aca="false">K6-J6</f>
        <v>626466.181190692</v>
      </c>
    </row>
    <row r="8" customFormat="false" ht="15" hidden="false" customHeight="true" outlineLevel="0" collapsed="false">
      <c r="A8" s="24" t="s">
        <v>291</v>
      </c>
      <c r="B8" s="35" t="n">
        <f aca="false">'Balance Sheet'!B53</f>
        <v>0.0971</v>
      </c>
      <c r="C8" s="35" t="n">
        <f aca="false">'Balance Sheet'!C53</f>
        <v>0.1013</v>
      </c>
      <c r="D8" s="35" t="n">
        <f aca="false">'Balance Sheet'!D53</f>
        <v>0.1036</v>
      </c>
      <c r="E8" s="35" t="n">
        <f aca="false">'Balance Sheet'!E53</f>
        <v>0.1081</v>
      </c>
      <c r="F8" s="35" t="n">
        <f aca="false">'Balance Sheet'!F53</f>
        <v>0.114</v>
      </c>
      <c r="G8" s="35" t="n">
        <f aca="false">'Balance Sheet'!G53</f>
        <v>0.150859725395188</v>
      </c>
      <c r="H8" s="35" t="n">
        <f aca="false">'Balance Sheet'!H53</f>
        <v>0.15358792611517</v>
      </c>
      <c r="I8" s="35" t="n">
        <f aca="false">'Balance Sheet'!I53</f>
        <v>0.158744408113657</v>
      </c>
      <c r="J8" s="35" t="n">
        <f aca="false">'Balance Sheet'!J53</f>
        <v>0.164800607939671</v>
      </c>
      <c r="K8" s="35" t="n">
        <f aca="false">'Balance Sheet'!K53</f>
        <v>0.171413826402025</v>
      </c>
    </row>
    <row r="9" customFormat="false" ht="15" hidden="false" customHeight="true" outlineLevel="0" collapsed="false">
      <c r="A9" s="24" t="s">
        <v>292</v>
      </c>
      <c r="B9" s="32" t="n">
        <f aca="false">B7*0.12</f>
        <v>0</v>
      </c>
      <c r="C9" s="32" t="n">
        <f aca="false">C7*0.12</f>
        <v>33896.1936</v>
      </c>
      <c r="D9" s="32" t="n">
        <f aca="false">D7*0.12</f>
        <v>38417.928</v>
      </c>
      <c r="E9" s="32" t="n">
        <f aca="false">E7*0.12</f>
        <v>32492.712</v>
      </c>
      <c r="F9" s="32" t="n">
        <f aca="false">F7*0.12</f>
        <v>52898.4</v>
      </c>
      <c r="G9" s="32" t="n">
        <f aca="false">G7*0.12</f>
        <v>52807.14468</v>
      </c>
      <c r="H9" s="32" t="n">
        <f aca="false">H7*0.12</f>
        <v>57568.46401344</v>
      </c>
      <c r="I9" s="32" t="n">
        <f aca="false">I7*0.12</f>
        <v>62862.2265812784</v>
      </c>
      <c r="J9" s="32" t="n">
        <f aca="false">J7*0.12</f>
        <v>69090.5213490606</v>
      </c>
      <c r="K9" s="32" t="n">
        <f aca="false">K7*0.12</f>
        <v>75175.941742883</v>
      </c>
    </row>
    <row r="10" customFormat="false" ht="15" hidden="false" customHeight="true" outlineLevel="0" collapsed="false">
      <c r="A10" s="26" t="s">
        <v>293</v>
      </c>
      <c r="B10" s="27" t="n">
        <f aca="false">B5-B9</f>
        <v>31634.98584</v>
      </c>
      <c r="C10" s="27" t="n">
        <f aca="false">C5-C9</f>
        <v>16302.55749</v>
      </c>
      <c r="D10" s="27" t="n">
        <f aca="false">D5-D9</f>
        <v>22697.928868</v>
      </c>
      <c r="E10" s="27" t="n">
        <f aca="false">E5-E9</f>
        <v>38366.70806</v>
      </c>
      <c r="F10" s="27" t="n">
        <f aca="false">F5-F9</f>
        <v>27142.969518</v>
      </c>
      <c r="G10" s="27" t="n">
        <f aca="false">G5-G9</f>
        <v>29844.83032318</v>
      </c>
      <c r="H10" s="27" t="n">
        <f aca="false">H5-H9</f>
        <v>48450.4069244239</v>
      </c>
      <c r="I10" s="27" t="n">
        <f aca="false">I5-I9</f>
        <v>69200.4105775531</v>
      </c>
      <c r="J10" s="27" t="n">
        <f aca="false">J5-J9</f>
        <v>86510.2183341789</v>
      </c>
      <c r="K10" s="27" t="n">
        <f aca="false">K5-K9</f>
        <v>104393.334930687</v>
      </c>
    </row>
    <row r="12" customFormat="false" ht="16.5" hidden="false" customHeight="true" outlineLevel="0" collapsed="false">
      <c r="A12" s="18" t="s">
        <v>294</v>
      </c>
      <c r="B12" s="18"/>
      <c r="C12" s="18"/>
      <c r="D12" s="18"/>
      <c r="E12" s="18"/>
      <c r="F12" s="18"/>
      <c r="G12" s="18"/>
      <c r="H12" s="18"/>
      <c r="I12" s="18"/>
      <c r="J12" s="18"/>
      <c r="K12" s="18"/>
    </row>
    <row r="13" customFormat="false" ht="15" hidden="false" customHeight="true" outlineLevel="0" collapsed="false">
      <c r="A13" s="24" t="s">
        <v>295</v>
      </c>
      <c r="B13" s="44" t="n">
        <f aca="false">'Income Statement'!B60</f>
        <v>7.1</v>
      </c>
      <c r="C13" s="44" t="n">
        <f aca="false">'Income Statement'!C60</f>
        <v>11.3</v>
      </c>
      <c r="D13" s="44" t="n">
        <f aca="false">'Income Statement'!D60</f>
        <v>13.7</v>
      </c>
      <c r="E13" s="44" t="n">
        <f aca="false">'Income Statement'!E60</f>
        <v>15.9</v>
      </c>
      <c r="F13" s="44" t="n">
        <f aca="false">'Income Statement'!F60</f>
        <v>17.35</v>
      </c>
      <c r="G13" s="44" t="n">
        <f aca="false">'Income Statement'!G60</f>
        <v>19.5448467066473</v>
      </c>
      <c r="H13" s="44" t="n">
        <f aca="false">'Income Statement'!H60</f>
        <v>25.0704545222621</v>
      </c>
      <c r="I13" s="44" t="n">
        <f aca="false">'Income Statement'!I60</f>
        <v>31.2290662001196</v>
      </c>
      <c r="J13" s="44" t="n">
        <f aca="false">'Income Statement'!J60</f>
        <v>36.7951595159442</v>
      </c>
      <c r="K13" s="44" t="n">
        <f aca="false">'Income Statement'!K60</f>
        <v>42.4630383686949</v>
      </c>
    </row>
    <row r="14" customFormat="false" ht="15" hidden="false" customHeight="true" outlineLevel="0" collapsed="false">
      <c r="A14" s="24" t="s">
        <v>296</v>
      </c>
      <c r="B14" s="44" t="n">
        <f aca="false">'Balance Sheet'!B9</f>
        <v>255.344777356968</v>
      </c>
      <c r="C14" s="44" t="n">
        <f aca="false">'Balance Sheet'!C9</f>
        <v>300.292397519217</v>
      </c>
      <c r="D14" s="44" t="n">
        <f aca="false">'Balance Sheet'!D9</f>
        <v>355.072617213096</v>
      </c>
      <c r="E14" s="44" t="n">
        <f aca="false">'Balance Sheet'!E9</f>
        <v>418.570483851377</v>
      </c>
      <c r="F14" s="44" t="n">
        <f aca="false">'Balance Sheet'!F9</f>
        <v>509.045494430268</v>
      </c>
      <c r="G14" s="44" t="n">
        <f aca="false">'Balance Sheet'!G9</f>
        <v>580.39173329685</v>
      </c>
      <c r="H14" s="44" t="n">
        <f aca="false">'Balance Sheet'!H9</f>
        <v>671.928043994412</v>
      </c>
      <c r="I14" s="44" t="n">
        <f aca="false">'Balance Sheet'!I9</f>
        <v>785.950448492523</v>
      </c>
      <c r="J14" s="44" t="n">
        <f aca="false">'Balance Sheet'!J9</f>
        <v>920.295565794924</v>
      </c>
      <c r="K14" s="44" t="n">
        <f aca="false">'Balance Sheet'!K9</f>
        <v>1075.33503146667</v>
      </c>
    </row>
    <row r="15" customFormat="false" ht="15" hidden="false" customHeight="true" outlineLevel="0" collapsed="false">
      <c r="A15" s="24" t="s">
        <v>297</v>
      </c>
      <c r="B15" s="36" t="n">
        <f aca="false">'Income Statement'!B63</f>
        <v>0.139</v>
      </c>
      <c r="C15" s="36" t="n">
        <f aca="false">'Income Statement'!C63</f>
        <v>0.169</v>
      </c>
      <c r="D15" s="36" t="n">
        <f aca="false">'Income Statement'!D63</f>
        <v>0.2032</v>
      </c>
      <c r="E15" s="36" t="n">
        <f aca="false">'Income Statement'!E63</f>
        <v>0.1987</v>
      </c>
      <c r="F15" s="36" t="n">
        <f aca="false">'Income Statement'!F63</f>
        <v>0.1857</v>
      </c>
      <c r="G15" s="36" t="n">
        <f aca="false">'Income Statement'!G51/'Balance Sheet'!G8</f>
        <v>0.156629149825179</v>
      </c>
      <c r="H15" s="36" t="n">
        <f aca="false">'Income Statement'!H51/'Balance Sheet'!H8</f>
        <v>0.173540554322798</v>
      </c>
      <c r="I15" s="36" t="n">
        <f aca="false">'Income Statement'!I51/'Balance Sheet'!I8</f>
        <v>0.184809959682353</v>
      </c>
      <c r="J15" s="36" t="n">
        <f aca="false">'Income Statement'!J51/'Balance Sheet'!J8</f>
        <v>0.185962296439535</v>
      </c>
      <c r="K15" s="36" t="n">
        <f aca="false">'Income Statement'!K51/'Balance Sheet'!K8</f>
        <v>0.183666018739354</v>
      </c>
    </row>
    <row r="17" customFormat="false" ht="16.5" hidden="false" customHeight="true" outlineLevel="0" collapsed="false">
      <c r="A17" s="18" t="s">
        <v>298</v>
      </c>
      <c r="B17" s="18"/>
      <c r="C17" s="18"/>
      <c r="D17" s="18"/>
      <c r="E17" s="18"/>
      <c r="F17" s="18"/>
      <c r="G17" s="18"/>
      <c r="H17" s="18"/>
      <c r="I17" s="18"/>
      <c r="J17" s="18"/>
      <c r="K17" s="18"/>
    </row>
    <row r="18" customFormat="false" ht="15" hidden="false" customHeight="true" outlineLevel="0" collapsed="false">
      <c r="A18" s="24" t="s">
        <v>299</v>
      </c>
      <c r="C18" s="20" t="n">
        <v>0.0665</v>
      </c>
    </row>
    <row r="19" customFormat="false" ht="15" hidden="false" customHeight="true" outlineLevel="0" collapsed="false">
      <c r="A19" s="24" t="s">
        <v>300</v>
      </c>
      <c r="C19" s="20" t="n">
        <v>0.0625</v>
      </c>
    </row>
    <row r="20" customFormat="false" ht="15" hidden="false" customHeight="true" outlineLevel="0" collapsed="false">
      <c r="A20" s="24" t="s">
        <v>301</v>
      </c>
      <c r="C20" s="52" t="n">
        <v>1.05</v>
      </c>
    </row>
    <row r="21" customFormat="false" ht="15" hidden="false" customHeight="true" outlineLevel="0" collapsed="false">
      <c r="A21" s="40" t="s">
        <v>302</v>
      </c>
      <c r="C21" s="53" t="n">
        <f aca="false">C18+C20*C19</f>
        <v>0.132125</v>
      </c>
    </row>
    <row r="22" customFormat="false" ht="15" hidden="false" customHeight="true" outlineLevel="0" collapsed="false">
      <c r="A22" s="33" t="s">
        <v>303</v>
      </c>
      <c r="C22" s="36" t="n">
        <f aca="false">K15</f>
        <v>0.183666018739354</v>
      </c>
    </row>
    <row r="23" customFormat="false" ht="15" hidden="false" customHeight="true" outlineLevel="0" collapsed="false">
      <c r="A23" s="33" t="s">
        <v>304</v>
      </c>
      <c r="C23" s="36" t="n">
        <f aca="false">1-Assumptions!K41</f>
        <v>0.785</v>
      </c>
    </row>
    <row r="24" customFormat="false" ht="15" hidden="false" customHeight="true" outlineLevel="0" collapsed="false">
      <c r="A24" s="24" t="s">
        <v>305</v>
      </c>
      <c r="C24" s="21" t="n">
        <v>0.16</v>
      </c>
    </row>
    <row r="25" customFormat="false" ht="15" hidden="false" customHeight="true" outlineLevel="0" collapsed="false">
      <c r="A25" s="24" t="s">
        <v>306</v>
      </c>
      <c r="C25" s="20" t="n">
        <v>0.07</v>
      </c>
    </row>
    <row r="26" customFormat="false" ht="15" hidden="false" customHeight="true" outlineLevel="0" collapsed="false">
      <c r="A26" s="33" t="s">
        <v>307</v>
      </c>
      <c r="C26" s="31" t="n">
        <f aca="false">C21-C25</f>
        <v>0.062125</v>
      </c>
    </row>
    <row r="28" customFormat="false" ht="16.5" hidden="false" customHeight="true" outlineLevel="0" collapsed="false">
      <c r="A28" s="18" t="s">
        <v>308</v>
      </c>
      <c r="B28" s="18"/>
      <c r="C28" s="18"/>
      <c r="D28" s="18"/>
      <c r="E28" s="18"/>
      <c r="F28" s="18"/>
      <c r="G28" s="18"/>
      <c r="H28" s="18"/>
      <c r="I28" s="18"/>
      <c r="J28" s="18"/>
      <c r="K28" s="18"/>
    </row>
    <row r="29" customFormat="false" ht="15" hidden="false" customHeight="true" outlineLevel="0" collapsed="false">
      <c r="A29" s="40" t="s">
        <v>309</v>
      </c>
      <c r="C29" s="54" t="n">
        <f aca="false">(C24-C25)/(C21-C25)</f>
        <v>1.44869215291751</v>
      </c>
    </row>
    <row r="30" customFormat="false" ht="15" hidden="false" customHeight="true" outlineLevel="0" collapsed="false">
      <c r="A30" s="24" t="s">
        <v>310</v>
      </c>
      <c r="C30" s="44" t="n">
        <f aca="false">G14</f>
        <v>580.39173329685</v>
      </c>
    </row>
    <row r="31" customFormat="false" ht="15" hidden="false" customHeight="true" outlineLevel="0" collapsed="false">
      <c r="A31" s="40" t="s">
        <v>311</v>
      </c>
      <c r="C31" s="41" t="n">
        <f aca="false">C29*C30</f>
        <v>840.808949645336</v>
      </c>
    </row>
    <row r="32" customFormat="false" ht="15" hidden="false" customHeight="true" outlineLevel="0" collapsed="false">
      <c r="A32" s="24" t="s">
        <v>312</v>
      </c>
      <c r="C32" s="43" t="n">
        <v>983</v>
      </c>
    </row>
    <row r="33" customFormat="false" ht="15" hidden="false" customHeight="true" outlineLevel="0" collapsed="false">
      <c r="A33" s="40" t="s">
        <v>313</v>
      </c>
      <c r="C33" s="55" t="n">
        <f aca="false">C31/C32-1</f>
        <v>-0.144650102090197</v>
      </c>
    </row>
  </sheetData>
  <mergeCells count="6">
    <mergeCell ref="A1:K1"/>
    <mergeCell ref="A2:K2"/>
    <mergeCell ref="A4:K4"/>
    <mergeCell ref="A12:K12"/>
    <mergeCell ref="A17:K17"/>
    <mergeCell ref="A28:K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8" min="2" style="1" width="14"/>
  </cols>
  <sheetData>
    <row r="1" customFormat="false" ht="25.5" hidden="false" customHeight="true" outlineLevel="0" collapsed="false">
      <c r="A1" s="13" t="s">
        <v>314</v>
      </c>
      <c r="B1" s="13"/>
      <c r="C1" s="13"/>
      <c r="D1" s="13"/>
      <c r="E1" s="13"/>
      <c r="F1" s="13"/>
      <c r="G1" s="13"/>
      <c r="H1" s="13"/>
    </row>
    <row r="2" customFormat="false" ht="15.75" hidden="false" customHeight="true" outlineLevel="0" collapsed="false">
      <c r="A2" s="14" t="s">
        <v>315</v>
      </c>
      <c r="B2" s="14"/>
      <c r="C2" s="14"/>
      <c r="D2" s="14"/>
      <c r="E2" s="14"/>
      <c r="F2" s="14"/>
      <c r="G2" s="14"/>
      <c r="H2" s="14"/>
    </row>
    <row r="4" customFormat="false" ht="16.5" hidden="false" customHeight="true" outlineLevel="0" collapsed="false">
      <c r="A4" s="18" t="s">
        <v>316</v>
      </c>
      <c r="B4" s="18"/>
      <c r="C4" s="18"/>
      <c r="D4" s="18"/>
      <c r="E4" s="18"/>
      <c r="F4" s="18"/>
      <c r="G4" s="18"/>
      <c r="H4" s="18"/>
    </row>
    <row r="5" customFormat="false" ht="15" hidden="false" customHeight="true" outlineLevel="0" collapsed="false">
      <c r="A5" s="56" t="s">
        <v>317</v>
      </c>
      <c r="B5" s="35" t="n">
        <f aca="false">'DCF Inputs'!C21</f>
        <v>0.132125</v>
      </c>
    </row>
    <row r="6" customFormat="false" ht="15" hidden="false" customHeight="true" outlineLevel="0" collapsed="false">
      <c r="A6" s="56" t="s">
        <v>318</v>
      </c>
      <c r="B6" s="36" t="n">
        <f aca="false">'DCF Inputs'!C24</f>
        <v>0.16</v>
      </c>
    </row>
    <row r="7" customFormat="false" ht="15" hidden="false" customHeight="true" outlineLevel="0" collapsed="false">
      <c r="A7" s="56" t="s">
        <v>319</v>
      </c>
      <c r="B7" s="35" t="n">
        <f aca="false">'DCF Inputs'!C25</f>
        <v>0.07</v>
      </c>
    </row>
    <row r="8" customFormat="false" ht="15" hidden="false" customHeight="true" outlineLevel="0" collapsed="false">
      <c r="A8" s="56" t="s">
        <v>320</v>
      </c>
      <c r="B8" s="57" t="n">
        <f aca="false">'DCF Inputs'!C29</f>
        <v>1.44869215291751</v>
      </c>
    </row>
    <row r="9" customFormat="false" ht="15" hidden="false" customHeight="true" outlineLevel="0" collapsed="false">
      <c r="A9" s="56" t="s">
        <v>321</v>
      </c>
      <c r="B9" s="44" t="n">
        <f aca="false">'DCF Inputs'!C30</f>
        <v>580.39173329685</v>
      </c>
    </row>
    <row r="10" customFormat="false" ht="15" hidden="false" customHeight="true" outlineLevel="0" collapsed="false">
      <c r="A10" s="58" t="s">
        <v>322</v>
      </c>
      <c r="B10" s="41" t="n">
        <f aca="false">'DCF Inputs'!C31</f>
        <v>840.808949645336</v>
      </c>
    </row>
    <row r="12" customFormat="false" ht="16.5" hidden="false" customHeight="true" outlineLevel="0" collapsed="false">
      <c r="A12" s="18" t="s">
        <v>323</v>
      </c>
      <c r="B12" s="18"/>
      <c r="C12" s="18"/>
      <c r="D12" s="18"/>
      <c r="E12" s="18"/>
      <c r="F12" s="18"/>
      <c r="G12" s="18"/>
      <c r="H12" s="18"/>
    </row>
    <row r="13" customFormat="false" ht="15" hidden="false" customHeight="true" outlineLevel="0" collapsed="false">
      <c r="A13" s="59" t="s">
        <v>324</v>
      </c>
    </row>
    <row r="14" customFormat="false" ht="15" hidden="false" customHeight="true" outlineLevel="0" collapsed="false">
      <c r="A14" s="60" t="s">
        <v>325</v>
      </c>
      <c r="B14" s="61" t="n">
        <v>0.055</v>
      </c>
      <c r="C14" s="61" t="n">
        <v>0.06</v>
      </c>
      <c r="D14" s="61" t="n">
        <v>0.065</v>
      </c>
      <c r="E14" s="61" t="n">
        <v>0.07</v>
      </c>
      <c r="F14" s="61" t="n">
        <v>0.075</v>
      </c>
      <c r="G14" s="61" t="n">
        <v>0.08</v>
      </c>
    </row>
    <row r="15" customFormat="false" ht="15" hidden="false" customHeight="true" outlineLevel="0" collapsed="false">
      <c r="A15" s="62" t="n">
        <v>0.112</v>
      </c>
      <c r="B15" s="42" t="n">
        <f aca="false">(('DCF Inputs'!$C$24-B$14)/($A15-B$14))*'DCF Inputs'!$C$30</f>
        <v>1069.14266659946</v>
      </c>
      <c r="C15" s="42" t="n">
        <f aca="false">(('DCF Inputs'!$C$24-C$14)/($A15-C$14))*'DCF Inputs'!$C$30</f>
        <v>1116.13794864779</v>
      </c>
      <c r="D15" s="42" t="n">
        <f aca="false">(('DCF Inputs'!$C$24-D$14)/($A15-D$14))*'DCF Inputs'!$C$30</f>
        <v>1173.13222687661</v>
      </c>
      <c r="E15" s="42" t="n">
        <f aca="false">(('DCF Inputs'!$C$24-E$14)/($A15-E$14))*'DCF Inputs'!$C$30</f>
        <v>1243.69657135039</v>
      </c>
      <c r="F15" s="42" t="n">
        <f aca="false">(('DCF Inputs'!$C$24-F$14)/($A15-F$14))*'DCF Inputs'!$C$30</f>
        <v>1333.33236027655</v>
      </c>
      <c r="G15" s="42" t="n">
        <f aca="false">(('DCF Inputs'!$C$24-G$14)/($A15-G$14))*'DCF Inputs'!$C$30</f>
        <v>1450.97933324213</v>
      </c>
    </row>
    <row r="16" customFormat="false" ht="15" hidden="false" customHeight="true" outlineLevel="0" collapsed="false">
      <c r="A16" s="62" t="n">
        <v>0.122</v>
      </c>
      <c r="B16" s="42" t="n">
        <f aca="false">(('DCF Inputs'!$C$24-B$14)/($A16-B$14))*'DCF Inputs'!$C$30</f>
        <v>909.569134271183</v>
      </c>
      <c r="C16" s="42" t="n">
        <f aca="false">(('DCF Inputs'!$C$24-C$14)/($A16-C$14))*'DCF Inputs'!$C$30</f>
        <v>936.115698865887</v>
      </c>
      <c r="D16" s="42" t="n">
        <f aca="false">(('DCF Inputs'!$C$24-D$14)/($A16-D$14))*'DCF Inputs'!$C$30</f>
        <v>967.31955549475</v>
      </c>
      <c r="E16" s="42" t="n">
        <f aca="false">(('DCF Inputs'!$C$24-E$14)/($A16-E$14))*'DCF Inputs'!$C$30</f>
        <v>1004.52415378301</v>
      </c>
      <c r="F16" s="42" t="n">
        <f aca="false">(('DCF Inputs'!$C$24-F$14)/($A16-F$14))*'DCF Inputs'!$C$30</f>
        <v>1049.6446240475</v>
      </c>
      <c r="G16" s="42" t="n">
        <f aca="false">(('DCF Inputs'!$C$24-G$14)/($A16-G$14))*'DCF Inputs'!$C$30</f>
        <v>1105.50806342257</v>
      </c>
    </row>
    <row r="17" customFormat="false" ht="15" hidden="false" customHeight="true" outlineLevel="0" collapsed="false">
      <c r="A17" s="62" t="n">
        <v>0.132125</v>
      </c>
      <c r="B17" s="42" t="n">
        <f aca="false">(('DCF Inputs'!$C$24-B$14)/($A17-B$14))*'DCF Inputs'!$C$30</f>
        <v>790.160544520833</v>
      </c>
      <c r="C17" s="42" t="n">
        <f aca="false">(('DCF Inputs'!$C$24-C$14)/($A17-C$14))*'DCF Inputs'!$C$30</f>
        <v>804.702576494766</v>
      </c>
      <c r="D17" s="42" t="n">
        <f aca="false">(('DCF Inputs'!$C$24-D$14)/($A17-D$14))*'DCF Inputs'!$C$30</f>
        <v>821.411019191073</v>
      </c>
      <c r="E17" s="42" t="n">
        <f aca="false">(('DCF Inputs'!$C$24-E$14)/($A17-E$14))*'DCF Inputs'!$C$30</f>
        <v>840.808949645336</v>
      </c>
      <c r="F17" s="42" t="n">
        <f aca="false">(('DCF Inputs'!$C$24-F$14)/($A17-F$14))*'DCF Inputs'!$C$30</f>
        <v>863.602579085029</v>
      </c>
      <c r="G17" s="42" t="n">
        <f aca="false">(('DCF Inputs'!$C$24-G$14)/($A17-G$14))*'DCF Inputs'!$C$30</f>
        <v>890.769087074303</v>
      </c>
    </row>
    <row r="18" customFormat="false" ht="15" hidden="false" customHeight="true" outlineLevel="0" collapsed="false">
      <c r="A18" s="62" t="n">
        <v>0.142</v>
      </c>
      <c r="B18" s="42" t="n">
        <f aca="false">(('DCF Inputs'!$C$24-B$14)/($A18-B$14))*'DCF Inputs'!$C$30</f>
        <v>700.472781565164</v>
      </c>
      <c r="C18" s="42" t="n">
        <f aca="false">(('DCF Inputs'!$C$24-C$14)/($A18-C$14))*'DCF Inputs'!$C$30</f>
        <v>707.794796703476</v>
      </c>
      <c r="D18" s="42" t="n">
        <f aca="false">(('DCF Inputs'!$C$24-D$14)/($A18-D$14))*'DCF Inputs'!$C$30</f>
        <v>716.067722898711</v>
      </c>
      <c r="E18" s="42" t="n">
        <f aca="false">(('DCF Inputs'!$C$24-E$14)/($A18-E$14))*'DCF Inputs'!$C$30</f>
        <v>725.489666621063</v>
      </c>
      <c r="F18" s="42" t="n">
        <f aca="false">(('DCF Inputs'!$C$24-F$14)/($A18-F$14))*'DCF Inputs'!$C$30</f>
        <v>736.317870600482</v>
      </c>
      <c r="G18" s="42" t="n">
        <f aca="false">(('DCF Inputs'!$C$24-G$14)/($A18-G$14))*'DCF Inputs'!$C$30</f>
        <v>748.89255909271</v>
      </c>
    </row>
    <row r="19" customFormat="false" ht="15" hidden="false" customHeight="true" outlineLevel="0" collapsed="false">
      <c r="A19" s="62" t="n">
        <v>0.152</v>
      </c>
      <c r="B19" s="42" t="n">
        <f aca="false">(('DCF Inputs'!$C$24-B$14)/($A19-B$14))*'DCF Inputs'!$C$30</f>
        <v>628.259092744013</v>
      </c>
      <c r="C19" s="42" t="n">
        <f aca="false">(('DCF Inputs'!$C$24-C$14)/($A19-C$14))*'DCF Inputs'!$C$30</f>
        <v>630.860579670489</v>
      </c>
      <c r="D19" s="42" t="n">
        <f aca="false">(('DCF Inputs'!$C$24-D$14)/($A19-D$14))*'DCF Inputs'!$C$30</f>
        <v>633.761088082767</v>
      </c>
      <c r="E19" s="42" t="n">
        <f aca="false">(('DCF Inputs'!$C$24-E$14)/($A19-E$14))*'DCF Inputs'!$C$30</f>
        <v>637.015317033128</v>
      </c>
      <c r="F19" s="42" t="n">
        <f aca="false">(('DCF Inputs'!$C$24-F$14)/($A19-F$14))*'DCF Inputs'!$C$30</f>
        <v>640.6921731199</v>
      </c>
      <c r="G19" s="42" t="n">
        <f aca="false">(('DCF Inputs'!$C$24-G$14)/($A19-G$14))*'DCF Inputs'!$C$30</f>
        <v>644.879703663167</v>
      </c>
    </row>
    <row r="21" customFormat="false" ht="15" hidden="false" customHeight="true" outlineLevel="0" collapsed="false">
      <c r="A21" s="59" t="s">
        <v>326</v>
      </c>
    </row>
    <row r="23" customFormat="false" ht="16.5" hidden="false" customHeight="true" outlineLevel="0" collapsed="false">
      <c r="A23" s="18" t="s">
        <v>327</v>
      </c>
      <c r="B23" s="18"/>
      <c r="C23" s="18"/>
      <c r="D23" s="18"/>
      <c r="E23" s="18"/>
      <c r="F23" s="18"/>
      <c r="G23" s="18"/>
      <c r="H23" s="18"/>
    </row>
    <row r="24" customFormat="false" ht="15" hidden="false" customHeight="true" outlineLevel="0" collapsed="false">
      <c r="A24" s="56" t="s">
        <v>328</v>
      </c>
      <c r="B24" s="44" t="n">
        <f aca="false">'Comparable Companies'!D24</f>
        <v>1209.05330789958</v>
      </c>
    </row>
    <row r="25" customFormat="false" ht="15" hidden="false" customHeight="true" outlineLevel="0" collapsed="false">
      <c r="A25" s="56" t="s">
        <v>329</v>
      </c>
      <c r="B25" s="44" t="n">
        <f aca="false">'Comparable Companies'!D25</f>
        <v>969.25419460574</v>
      </c>
    </row>
    <row r="26" customFormat="false" ht="15" hidden="false" customHeight="true" outlineLevel="0" collapsed="false">
      <c r="A26" s="58" t="s">
        <v>330</v>
      </c>
      <c r="B26" s="41" t="n">
        <f aca="false">AVERAGE(B24:B25)</f>
        <v>1089.15375125266</v>
      </c>
    </row>
    <row r="28" customFormat="false" ht="16.5" hidden="false" customHeight="true" outlineLevel="0" collapsed="false">
      <c r="A28" s="18" t="s">
        <v>331</v>
      </c>
      <c r="B28" s="18"/>
      <c r="C28" s="18"/>
      <c r="D28" s="18"/>
      <c r="E28" s="18"/>
      <c r="F28" s="18"/>
      <c r="G28" s="18"/>
      <c r="H28" s="18"/>
    </row>
    <row r="29" customFormat="false" ht="15" hidden="false" customHeight="true" outlineLevel="0" collapsed="false">
      <c r="A29" s="16" t="s">
        <v>332</v>
      </c>
      <c r="B29" s="16" t="s">
        <v>333</v>
      </c>
      <c r="C29" s="16" t="s">
        <v>334</v>
      </c>
      <c r="D29" s="16" t="s">
        <v>335</v>
      </c>
      <c r="E29" s="16" t="s">
        <v>336</v>
      </c>
      <c r="F29" s="16" t="s">
        <v>337</v>
      </c>
    </row>
    <row r="30" customFormat="false" ht="15" hidden="false" customHeight="true" outlineLevel="0" collapsed="false">
      <c r="A30" s="56" t="s">
        <v>338</v>
      </c>
      <c r="B30" s="42" t="n">
        <f aca="false">B10*0.9</f>
        <v>756.728054680803</v>
      </c>
      <c r="C30" s="44" t="n">
        <f aca="false">B10</f>
        <v>840.808949645336</v>
      </c>
      <c r="D30" s="42" t="n">
        <f aca="false">B10*1.1</f>
        <v>924.88984460987</v>
      </c>
      <c r="E30" s="21" t="n">
        <v>0.55</v>
      </c>
      <c r="F30" s="42" t="n">
        <f aca="false">C30*E30</f>
        <v>462.444922304935</v>
      </c>
    </row>
    <row r="31" customFormat="false" ht="15" hidden="false" customHeight="true" outlineLevel="0" collapsed="false">
      <c r="A31" s="56" t="s">
        <v>339</v>
      </c>
      <c r="B31" s="42" t="n">
        <f aca="false">MIN(B24:B25)</f>
        <v>969.25419460574</v>
      </c>
      <c r="C31" s="44" t="n">
        <f aca="false">B26</f>
        <v>1089.15375125266</v>
      </c>
      <c r="D31" s="42" t="n">
        <f aca="false">MAX(B24:B25)</f>
        <v>1209.05330789958</v>
      </c>
      <c r="E31" s="21" t="n">
        <v>0.45</v>
      </c>
      <c r="F31" s="42" t="n">
        <f aca="false">C31*E31</f>
        <v>490.119188063696</v>
      </c>
    </row>
    <row r="32" customFormat="false" ht="39.75" hidden="false" customHeight="true" outlineLevel="0" collapsed="false">
      <c r="A32" s="59" t="s">
        <v>340</v>
      </c>
      <c r="B32" s="63" t="s">
        <v>75</v>
      </c>
      <c r="C32" s="63" t="s">
        <v>75</v>
      </c>
      <c r="D32" s="63" t="s">
        <v>75</v>
      </c>
      <c r="E32" s="21" t="n">
        <v>0</v>
      </c>
      <c r="F32" s="42" t="n">
        <v>0</v>
      </c>
      <c r="G32" s="64" t="s">
        <v>341</v>
      </c>
      <c r="H32" s="64"/>
    </row>
    <row r="33" customFormat="false" ht="15" hidden="false" customHeight="true" outlineLevel="0" collapsed="false">
      <c r="A33" s="26" t="s">
        <v>342</v>
      </c>
      <c r="E33" s="55" t="n">
        <f aca="false">SUM(E30:E32)</f>
        <v>1</v>
      </c>
      <c r="F33" s="41" t="n">
        <f aca="false">SUM(F30:F32)</f>
        <v>952.564110368631</v>
      </c>
    </row>
    <row r="35" customFormat="false" ht="15" hidden="false" customHeight="true" outlineLevel="0" collapsed="false">
      <c r="A35" s="58" t="s">
        <v>343</v>
      </c>
      <c r="B35" s="41" t="n">
        <f aca="false">MROUND(F33,5)</f>
        <v>955</v>
      </c>
    </row>
    <row r="36" customFormat="false" ht="15" hidden="false" customHeight="true" outlineLevel="0" collapsed="false">
      <c r="A36" s="56" t="s">
        <v>312</v>
      </c>
      <c r="B36" s="43" t="n">
        <v>983</v>
      </c>
    </row>
    <row r="37" customFormat="false" ht="15" hidden="false" customHeight="true" outlineLevel="0" collapsed="false">
      <c r="A37" s="58" t="s">
        <v>344</v>
      </c>
      <c r="B37" s="55" t="n">
        <f aca="false">B35/B36-1</f>
        <v>-0.0284842319430315</v>
      </c>
    </row>
    <row r="38" customFormat="false" ht="15" hidden="false" customHeight="true" outlineLevel="0" collapsed="false">
      <c r="A38" s="58" t="s">
        <v>345</v>
      </c>
      <c r="B38" s="60" t="str">
        <f aca="false">IF(B37&gt;0.15,"BUY",IF(B37&gt;=-0.05,"HOLD","SELL"))</f>
        <v>HOLD</v>
      </c>
    </row>
    <row r="40" customFormat="false" ht="16.5" hidden="false" customHeight="true" outlineLevel="0" collapsed="false">
      <c r="A40" s="18" t="s">
        <v>346</v>
      </c>
      <c r="B40" s="18"/>
      <c r="C40" s="18"/>
      <c r="D40" s="18"/>
      <c r="E40" s="18"/>
      <c r="F40" s="18"/>
      <c r="G40" s="18"/>
      <c r="H40" s="18"/>
    </row>
    <row r="41" customFormat="false" ht="15" hidden="false" customHeight="true" outlineLevel="0" collapsed="false">
      <c r="A41" s="16" t="s">
        <v>332</v>
      </c>
      <c r="B41" s="16" t="s">
        <v>347</v>
      </c>
      <c r="C41" s="16" t="s">
        <v>263</v>
      </c>
      <c r="D41" s="16" t="s">
        <v>348</v>
      </c>
    </row>
    <row r="42" customFormat="false" ht="15" hidden="false" customHeight="true" outlineLevel="0" collapsed="false">
      <c r="A42" s="56" t="s">
        <v>338</v>
      </c>
      <c r="B42" s="44" t="n">
        <f aca="false">B30</f>
        <v>756.728054680803</v>
      </c>
      <c r="C42" s="44" t="n">
        <f aca="false">C30</f>
        <v>840.808949645336</v>
      </c>
      <c r="D42" s="44" t="n">
        <f aca="false">D30</f>
        <v>924.88984460987</v>
      </c>
    </row>
    <row r="43" customFormat="false" ht="15" hidden="false" customHeight="true" outlineLevel="0" collapsed="false">
      <c r="A43" s="56" t="s">
        <v>349</v>
      </c>
      <c r="B43" s="44" t="n">
        <f aca="false">B31</f>
        <v>969.25419460574</v>
      </c>
      <c r="C43" s="44" t="n">
        <f aca="false">C31</f>
        <v>1089.15375125266</v>
      </c>
      <c r="D43" s="44" t="n">
        <f aca="false">D31</f>
        <v>1209.05330789958</v>
      </c>
    </row>
    <row r="44" customFormat="false" ht="15" hidden="false" customHeight="true" outlineLevel="0" collapsed="false">
      <c r="A44" s="56" t="s">
        <v>350</v>
      </c>
      <c r="B44" s="44" t="n">
        <f aca="false">B36</f>
        <v>983</v>
      </c>
      <c r="C44" s="44" t="n">
        <f aca="false">B36</f>
        <v>983</v>
      </c>
      <c r="D44" s="44" t="n">
        <f aca="false">B36</f>
        <v>983</v>
      </c>
    </row>
    <row r="46" customFormat="false" ht="16.5" hidden="false" customHeight="true" outlineLevel="0" collapsed="false">
      <c r="A46" s="18" t="s">
        <v>351</v>
      </c>
      <c r="B46" s="18"/>
      <c r="C46" s="18"/>
      <c r="D46" s="18"/>
      <c r="E46" s="18"/>
      <c r="F46" s="18"/>
      <c r="G46" s="18"/>
      <c r="H46" s="18"/>
    </row>
    <row r="47" customFormat="false" ht="27.75" hidden="false" customHeight="true" outlineLevel="0" collapsed="false">
      <c r="A47" s="65" t="s">
        <v>352</v>
      </c>
      <c r="B47" s="65"/>
      <c r="C47" s="65"/>
      <c r="D47" s="65"/>
      <c r="E47" s="65"/>
      <c r="F47" s="65"/>
      <c r="G47" s="65"/>
      <c r="H47" s="65"/>
    </row>
    <row r="48" customFormat="false" ht="27.75" hidden="false" customHeight="true" outlineLevel="0" collapsed="false">
      <c r="A48" s="65" t="s">
        <v>353</v>
      </c>
      <c r="B48" s="65"/>
      <c r="C48" s="65"/>
      <c r="D48" s="65"/>
      <c r="E48" s="65"/>
      <c r="F48" s="65"/>
      <c r="G48" s="65"/>
      <c r="H48" s="65"/>
    </row>
    <row r="49" customFormat="false" ht="27.75" hidden="false" customHeight="true" outlineLevel="0" collapsed="false">
      <c r="A49" s="65" t="s">
        <v>354</v>
      </c>
      <c r="B49" s="65"/>
      <c r="C49" s="65"/>
      <c r="D49" s="65"/>
      <c r="E49" s="65"/>
      <c r="F49" s="65"/>
      <c r="G49" s="65"/>
      <c r="H49" s="65"/>
    </row>
    <row r="50" customFormat="false" ht="27.75" hidden="false" customHeight="true" outlineLevel="0" collapsed="false">
      <c r="A50" s="65" t="s">
        <v>355</v>
      </c>
      <c r="B50" s="65"/>
      <c r="C50" s="65"/>
      <c r="D50" s="65"/>
      <c r="E50" s="65"/>
      <c r="F50" s="65"/>
      <c r="G50" s="65"/>
      <c r="H50" s="65"/>
    </row>
    <row r="51" customFormat="false" ht="27.75" hidden="false" customHeight="true" outlineLevel="0" collapsed="false">
      <c r="A51" s="65" t="s">
        <v>356</v>
      </c>
      <c r="B51" s="65"/>
      <c r="C51" s="65"/>
      <c r="D51" s="65"/>
      <c r="E51" s="65"/>
      <c r="F51" s="65"/>
      <c r="G51" s="65"/>
      <c r="H51" s="65"/>
    </row>
    <row r="53" customFormat="false" ht="27.75" hidden="false" customHeight="true" outlineLevel="0" collapsed="false">
      <c r="A53" s="65" t="s">
        <v>357</v>
      </c>
      <c r="B53" s="65"/>
      <c r="C53" s="65"/>
      <c r="D53" s="65"/>
      <c r="E53" s="65"/>
      <c r="F53" s="65"/>
      <c r="G53" s="65"/>
      <c r="H53" s="65"/>
    </row>
    <row r="54" customFormat="false" ht="27.75" hidden="false" customHeight="true" outlineLevel="0" collapsed="false">
      <c r="A54" s="65" t="s">
        <v>358</v>
      </c>
      <c r="B54" s="65"/>
      <c r="C54" s="65"/>
      <c r="D54" s="65"/>
      <c r="E54" s="65"/>
      <c r="F54" s="65"/>
      <c r="G54" s="65"/>
      <c r="H54" s="65"/>
    </row>
    <row r="55" customFormat="false" ht="27.75" hidden="false" customHeight="true" outlineLevel="0" collapsed="false">
      <c r="A55" s="65" t="s">
        <v>359</v>
      </c>
      <c r="B55" s="65"/>
      <c r="C55" s="65"/>
      <c r="D55" s="65"/>
      <c r="E55" s="65"/>
      <c r="F55" s="65"/>
      <c r="G55" s="65"/>
      <c r="H55" s="65"/>
    </row>
    <row r="56" customFormat="false" ht="27.75" hidden="false" customHeight="true" outlineLevel="0" collapsed="false">
      <c r="A56" s="65" t="s">
        <v>360</v>
      </c>
      <c r="B56" s="65"/>
      <c r="C56" s="65"/>
      <c r="D56" s="65"/>
      <c r="E56" s="65"/>
      <c r="F56" s="65"/>
      <c r="G56" s="65"/>
      <c r="H56" s="65"/>
    </row>
    <row r="57" customFormat="false" ht="27.75" hidden="false" customHeight="true" outlineLevel="0" collapsed="false">
      <c r="A57" s="65" t="s">
        <v>361</v>
      </c>
      <c r="B57" s="65"/>
      <c r="C57" s="65"/>
      <c r="D57" s="65"/>
      <c r="E57" s="65"/>
      <c r="F57" s="65"/>
      <c r="G57" s="65"/>
      <c r="H57" s="65"/>
    </row>
  </sheetData>
  <mergeCells count="19">
    <mergeCell ref="A1:H1"/>
    <mergeCell ref="A2:H2"/>
    <mergeCell ref="A4:H4"/>
    <mergeCell ref="A12:H12"/>
    <mergeCell ref="A23:H23"/>
    <mergeCell ref="A28:H28"/>
    <mergeCell ref="G32:H32"/>
    <mergeCell ref="A40:H40"/>
    <mergeCell ref="A46:H46"/>
    <mergeCell ref="A47:H47"/>
    <mergeCell ref="A48:H48"/>
    <mergeCell ref="A49:H49"/>
    <mergeCell ref="A50:H50"/>
    <mergeCell ref="A51:H51"/>
    <mergeCell ref="A53:H53"/>
    <mergeCell ref="A54:H54"/>
    <mergeCell ref="A55:H55"/>
    <mergeCell ref="A56:H56"/>
    <mergeCell ref="A57:H57"/>
  </mergeCells>
  <conditionalFormatting sqref="B15:G19">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3" min="2" style="1" width="14"/>
    <col collapsed="false" customWidth="true" hidden="false" outlineLevel="0" max="6" min="4" style="1" width="10"/>
    <col collapsed="false" customWidth="true" hidden="false" outlineLevel="0" max="7" min="7" style="1" width="16"/>
    <col collapsed="false" customWidth="true" hidden="false" outlineLevel="0" max="8" min="8" style="1" width="40"/>
  </cols>
  <sheetData>
    <row r="1" customFormat="false" ht="25.5" hidden="false" customHeight="true" outlineLevel="0" collapsed="false">
      <c r="A1" s="13" t="s">
        <v>362</v>
      </c>
      <c r="B1" s="13"/>
      <c r="C1" s="13"/>
      <c r="D1" s="13"/>
      <c r="E1" s="13"/>
      <c r="F1" s="13"/>
      <c r="G1" s="13"/>
      <c r="H1" s="13"/>
    </row>
    <row r="2" customFormat="false" ht="24" hidden="false" customHeight="true" outlineLevel="0" collapsed="false">
      <c r="A2" s="14" t="s">
        <v>363</v>
      </c>
      <c r="B2" s="14"/>
      <c r="C2" s="14"/>
      <c r="D2" s="14"/>
      <c r="E2" s="14"/>
      <c r="F2" s="14"/>
      <c r="G2" s="14"/>
      <c r="H2" s="14"/>
    </row>
    <row r="3" customFormat="false" ht="27.75" hidden="false" customHeight="true" outlineLevel="0" collapsed="false">
      <c r="A3" s="66" t="s">
        <v>364</v>
      </c>
      <c r="B3" s="66" t="s">
        <v>365</v>
      </c>
      <c r="C3" s="66" t="s">
        <v>366</v>
      </c>
      <c r="D3" s="66" t="s">
        <v>367</v>
      </c>
      <c r="E3" s="66" t="s">
        <v>368</v>
      </c>
      <c r="F3" s="66" t="s">
        <v>369</v>
      </c>
      <c r="G3" s="66" t="s">
        <v>370</v>
      </c>
      <c r="H3" s="66" t="s">
        <v>371</v>
      </c>
    </row>
    <row r="4" customFormat="false" ht="25.5" hidden="false" customHeight="true" outlineLevel="0" collapsed="false">
      <c r="A4" s="67" t="s">
        <v>372</v>
      </c>
      <c r="B4" s="43" t="n">
        <v>737.25</v>
      </c>
      <c r="C4" s="22" t="n">
        <v>1398000</v>
      </c>
      <c r="D4" s="52" t="n">
        <v>14.98</v>
      </c>
      <c r="E4" s="52" t="n">
        <v>1.87</v>
      </c>
      <c r="F4" s="21" t="n">
        <v>0.1249</v>
      </c>
      <c r="G4" s="67" t="s">
        <v>373</v>
      </c>
      <c r="H4" s="68" t="s">
        <v>374</v>
      </c>
    </row>
    <row r="5" customFormat="false" ht="25.5" hidden="false" customHeight="true" outlineLevel="0" collapsed="false">
      <c r="A5" s="69" t="s">
        <v>375</v>
      </c>
      <c r="B5" s="70" t="n">
        <v>1422.8</v>
      </c>
      <c r="C5" s="71" t="n">
        <v>1022835</v>
      </c>
      <c r="D5" s="72" t="n">
        <v>18.24</v>
      </c>
      <c r="E5" s="72" t="n">
        <v>2.74</v>
      </c>
      <c r="F5" s="73" t="n">
        <v>0.1502</v>
      </c>
      <c r="G5" s="69" t="s">
        <v>373</v>
      </c>
      <c r="H5" s="74" t="s">
        <v>376</v>
      </c>
    </row>
    <row r="6" customFormat="false" ht="25.5" hidden="false" customHeight="true" outlineLevel="0" collapsed="false">
      <c r="A6" s="67" t="s">
        <v>377</v>
      </c>
      <c r="B6" s="43" t="n">
        <v>1210.75</v>
      </c>
      <c r="C6" s="22" t="n">
        <v>387515</v>
      </c>
      <c r="D6" s="52" t="n">
        <v>13.3</v>
      </c>
      <c r="E6" s="52" t="n">
        <v>1.67</v>
      </c>
      <c r="F6" s="21" t="n">
        <v>0.1326</v>
      </c>
      <c r="G6" s="67" t="s">
        <v>373</v>
      </c>
      <c r="H6" s="68" t="s">
        <v>378</v>
      </c>
    </row>
    <row r="7" customFormat="false" ht="25.5" hidden="false" customHeight="true" outlineLevel="0" collapsed="false">
      <c r="A7" s="69" t="s">
        <v>379</v>
      </c>
      <c r="B7" s="70" t="n">
        <v>413.1</v>
      </c>
      <c r="C7" s="71" t="n">
        <v>411842</v>
      </c>
      <c r="D7" s="72" t="n">
        <v>20.29</v>
      </c>
      <c r="E7" s="72" t="n">
        <v>2.21</v>
      </c>
      <c r="F7" s="73" t="n">
        <v>0.1089</v>
      </c>
      <c r="G7" s="69" t="s">
        <v>373</v>
      </c>
      <c r="H7" s="74" t="s">
        <v>380</v>
      </c>
    </row>
    <row r="8" customFormat="false" ht="25.5" hidden="false" customHeight="true" outlineLevel="0" collapsed="false">
      <c r="A8" s="67" t="s">
        <v>381</v>
      </c>
      <c r="B8" s="43" t="n">
        <v>104.5</v>
      </c>
      <c r="C8" s="22" t="n">
        <v>125000</v>
      </c>
      <c r="D8" s="52" t="n">
        <v>7</v>
      </c>
      <c r="E8" s="52" t="n">
        <v>0.84</v>
      </c>
      <c r="F8" s="21" t="n">
        <v>0.124</v>
      </c>
      <c r="G8" s="67" t="s">
        <v>382</v>
      </c>
      <c r="H8" s="68" t="s">
        <v>383</v>
      </c>
    </row>
    <row r="9" customFormat="false" ht="25.5" hidden="false" customHeight="true" outlineLevel="0" collapsed="false">
      <c r="A9" s="69" t="s">
        <v>384</v>
      </c>
      <c r="B9" s="70" t="n">
        <v>276.9</v>
      </c>
      <c r="C9" s="71" t="n">
        <v>144359</v>
      </c>
      <c r="D9" s="72" t="n">
        <v>7.21</v>
      </c>
      <c r="E9" s="72" t="n">
        <v>0.87</v>
      </c>
      <c r="F9" s="73" t="n">
        <v>0.1164</v>
      </c>
      <c r="G9" s="69" t="s">
        <v>382</v>
      </c>
      <c r="H9" s="74" t="s">
        <v>385</v>
      </c>
    </row>
    <row r="10" customFormat="false" ht="25.5" hidden="false" customHeight="true" outlineLevel="0" collapsed="false">
      <c r="A10" s="67" t="s">
        <v>386</v>
      </c>
      <c r="B10" s="43" t="n">
        <v>129.5</v>
      </c>
      <c r="C10" s="22" t="n">
        <v>114200</v>
      </c>
      <c r="D10" s="52" t="n">
        <v>6.39</v>
      </c>
      <c r="E10" s="52" t="n">
        <v>1.03</v>
      </c>
      <c r="F10" s="21" t="n">
        <v>0.161</v>
      </c>
      <c r="G10" s="67" t="s">
        <v>382</v>
      </c>
      <c r="H10" s="68" t="s">
        <v>387</v>
      </c>
    </row>
    <row r="11" customFormat="false" ht="25.5" hidden="false" customHeight="true" outlineLevel="0" collapsed="false">
      <c r="A11" s="75" t="s">
        <v>388</v>
      </c>
      <c r="B11" s="76" t="n">
        <v>983</v>
      </c>
      <c r="C11" s="77" t="n">
        <v>903216</v>
      </c>
      <c r="D11" s="78" t="n">
        <v>10.9</v>
      </c>
      <c r="E11" s="78" t="n">
        <v>1.47</v>
      </c>
      <c r="F11" s="79" t="n">
        <v>0.1857</v>
      </c>
      <c r="G11" s="75" t="s">
        <v>389</v>
      </c>
      <c r="H11" s="80" t="s">
        <v>390</v>
      </c>
    </row>
    <row r="13" customFormat="false" ht="15" hidden="false" customHeight="true" outlineLevel="0" collapsed="false">
      <c r="A13" s="23" t="s">
        <v>391</v>
      </c>
      <c r="B13" s="23"/>
      <c r="C13" s="23"/>
      <c r="D13" s="23"/>
      <c r="E13" s="23"/>
      <c r="F13" s="23"/>
      <c r="G13" s="23"/>
      <c r="H13" s="23"/>
    </row>
    <row r="14" customFormat="false" ht="15" hidden="false" customHeight="true" outlineLevel="0" collapsed="false">
      <c r="A14" s="81" t="s">
        <v>392</v>
      </c>
      <c r="D14" s="82" t="n">
        <f aca="false">MAX(D4:D10)</f>
        <v>20.29</v>
      </c>
      <c r="E14" s="82" t="n">
        <f aca="false">MAX(E4:E10)</f>
        <v>2.74</v>
      </c>
      <c r="F14" s="30" t="n">
        <f aca="false">MAX(F4:F10)</f>
        <v>0.161</v>
      </c>
    </row>
    <row r="15" customFormat="false" ht="15" hidden="false" customHeight="true" outlineLevel="0" collapsed="false">
      <c r="A15" s="81" t="s">
        <v>393</v>
      </c>
      <c r="D15" s="82" t="n">
        <f aca="false">QUARTILE(D4:D10,3)</f>
        <v>16.61</v>
      </c>
      <c r="E15" s="82" t="n">
        <f aca="false">QUARTILE(E4:E10,3)</f>
        <v>2.04</v>
      </c>
      <c r="F15" s="30" t="n">
        <f aca="false">QUARTILE(F4:F10,3)</f>
        <v>0.1414</v>
      </c>
    </row>
    <row r="16" customFormat="false" ht="15" hidden="false" customHeight="true" outlineLevel="0" collapsed="false">
      <c r="A16" s="81" t="s">
        <v>394</v>
      </c>
      <c r="D16" s="82" t="n">
        <f aca="false">MEDIAN(D4:D10)</f>
        <v>13.3</v>
      </c>
      <c r="E16" s="82" t="n">
        <f aca="false">MEDIAN(E4:E10)</f>
        <v>1.67</v>
      </c>
      <c r="F16" s="30" t="n">
        <f aca="false">MEDIAN(F4:F10)</f>
        <v>0.1249</v>
      </c>
    </row>
    <row r="17" customFormat="false" ht="15" hidden="false" customHeight="true" outlineLevel="0" collapsed="false">
      <c r="A17" s="81" t="s">
        <v>395</v>
      </c>
      <c r="D17" s="82" t="n">
        <f aca="false">QUARTILE(D4:D10,1)</f>
        <v>7.105</v>
      </c>
      <c r="E17" s="82" t="n">
        <f aca="false">QUARTILE(E4:E10,1)</f>
        <v>0.95</v>
      </c>
      <c r="F17" s="30" t="n">
        <f aca="false">QUARTILE(F4:F10,1)</f>
        <v>0.1202</v>
      </c>
    </row>
    <row r="18" customFormat="false" ht="15" hidden="false" customHeight="true" outlineLevel="0" collapsed="false">
      <c r="A18" s="81" t="s">
        <v>396</v>
      </c>
      <c r="D18" s="82" t="n">
        <f aca="false">MIN(D4:D10)</f>
        <v>6.39</v>
      </c>
      <c r="E18" s="82" t="n">
        <f aca="false">MIN(E4:E10)</f>
        <v>0.84</v>
      </c>
      <c r="F18" s="30" t="n">
        <f aca="false">MIN(F4:F10)</f>
        <v>0.1089</v>
      </c>
    </row>
    <row r="20" customFormat="false" ht="15" hidden="false" customHeight="true" outlineLevel="0" collapsed="false">
      <c r="A20" s="23" t="s">
        <v>397</v>
      </c>
      <c r="B20" s="23"/>
      <c r="C20" s="23"/>
      <c r="D20" s="23"/>
      <c r="E20" s="23"/>
      <c r="F20" s="23"/>
      <c r="G20" s="23"/>
      <c r="H20" s="23"/>
    </row>
    <row r="21" customFormat="false" ht="15" hidden="false" customHeight="true" outlineLevel="0" collapsed="false">
      <c r="A21" s="1" t="s">
        <v>398</v>
      </c>
      <c r="D21" s="44" t="n">
        <f aca="false">'Income Statement'!G58</f>
        <v>90.9062637518477</v>
      </c>
    </row>
    <row r="22" customFormat="false" ht="15" hidden="false" customHeight="true" outlineLevel="0" collapsed="false">
      <c r="A22" s="1" t="s">
        <v>399</v>
      </c>
      <c r="D22" s="44" t="n">
        <f aca="false">'Balance Sheet'!G9</f>
        <v>580.39173329685</v>
      </c>
    </row>
    <row r="24" customFormat="false" ht="15" hidden="false" customHeight="true" outlineLevel="0" collapsed="false">
      <c r="A24" s="83" t="s">
        <v>328</v>
      </c>
      <c r="D24" s="41" t="n">
        <f aca="false">D16*D21</f>
        <v>1209.05330789958</v>
      </c>
    </row>
    <row r="25" customFormat="false" ht="15" hidden="false" customHeight="true" outlineLevel="0" collapsed="false">
      <c r="A25" s="83" t="s">
        <v>329</v>
      </c>
      <c r="D25" s="41" t="n">
        <f aca="false">E16*D22</f>
        <v>969.25419460574</v>
      </c>
    </row>
    <row r="27" customFormat="false" ht="54.75" hidden="false" customHeight="true" outlineLevel="0" collapsed="false">
      <c r="A27" s="84" t="s">
        <v>400</v>
      </c>
      <c r="B27" s="84"/>
      <c r="C27" s="84"/>
      <c r="D27" s="84"/>
      <c r="E27" s="84"/>
      <c r="F27" s="84"/>
      <c r="G27" s="84"/>
      <c r="H27" s="84"/>
    </row>
  </sheetData>
  <mergeCells count="5">
    <mergeCell ref="A1:H1"/>
    <mergeCell ref="A2:H2"/>
    <mergeCell ref="A13:H13"/>
    <mergeCell ref="A20:H20"/>
    <mergeCell ref="A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17" min="2" style="1" width="9.52"/>
  </cols>
  <sheetData>
    <row r="1" customFormat="false" ht="27.75" hidden="false" customHeight="true" outlineLevel="0" collapsed="false">
      <c r="A1" s="85" t="s">
        <v>401</v>
      </c>
      <c r="B1" s="85"/>
      <c r="C1" s="85"/>
      <c r="D1" s="85"/>
      <c r="E1" s="85"/>
      <c r="F1" s="85"/>
      <c r="G1" s="85"/>
      <c r="H1" s="85"/>
      <c r="I1" s="85"/>
      <c r="J1" s="85"/>
      <c r="K1" s="85"/>
      <c r="L1" s="85"/>
      <c r="M1" s="85"/>
      <c r="N1" s="85"/>
      <c r="O1" s="85"/>
      <c r="P1" s="85"/>
      <c r="Q1" s="85"/>
    </row>
    <row r="2" customFormat="false" ht="15.75" hidden="false" customHeight="true" outlineLevel="0" collapsed="false">
      <c r="A2" s="14" t="s">
        <v>402</v>
      </c>
      <c r="B2" s="14"/>
      <c r="C2" s="14"/>
      <c r="D2" s="14"/>
      <c r="E2" s="14"/>
      <c r="F2" s="14"/>
      <c r="G2" s="14"/>
      <c r="H2" s="14"/>
      <c r="I2" s="14"/>
      <c r="J2" s="14"/>
      <c r="K2" s="14"/>
      <c r="L2" s="14"/>
      <c r="M2" s="14"/>
      <c r="N2" s="14"/>
      <c r="O2" s="14"/>
      <c r="P2" s="14"/>
      <c r="Q2" s="14"/>
    </row>
    <row r="4" customFormat="false" ht="19.5" hidden="false" customHeight="true" outlineLevel="0" collapsed="false">
      <c r="B4" s="86" t="s">
        <v>403</v>
      </c>
      <c r="C4" s="86"/>
      <c r="D4" s="86"/>
      <c r="E4" s="86"/>
      <c r="F4" s="86"/>
      <c r="G4" s="86"/>
      <c r="H4" s="86"/>
      <c r="I4" s="86"/>
      <c r="J4" s="86"/>
      <c r="K4" s="86"/>
      <c r="L4" s="86"/>
      <c r="M4" s="86"/>
      <c r="N4" s="86"/>
      <c r="O4" s="86"/>
      <c r="P4" s="86"/>
      <c r="Q4" s="86"/>
    </row>
    <row r="5" customFormat="false" ht="15" hidden="false" customHeight="true" outlineLevel="0" collapsed="false">
      <c r="B5" s="87" t="s">
        <v>404</v>
      </c>
      <c r="J5" s="87" t="s">
        <v>405</v>
      </c>
    </row>
    <row r="24" customFormat="false" ht="15" hidden="false" customHeight="true" outlineLevel="0" collapsed="false">
      <c r="B24" s="87" t="s">
        <v>406</v>
      </c>
      <c r="J24" s="87" t="s">
        <v>407</v>
      </c>
    </row>
    <row r="43" customFormat="false" ht="19.5" hidden="false" customHeight="true" outlineLevel="0" collapsed="false">
      <c r="B43" s="86" t="s">
        <v>408</v>
      </c>
      <c r="C43" s="86"/>
      <c r="D43" s="86"/>
      <c r="E43" s="86"/>
      <c r="F43" s="86"/>
      <c r="G43" s="86"/>
      <c r="H43" s="86"/>
      <c r="I43" s="86"/>
      <c r="J43" s="86"/>
      <c r="K43" s="86"/>
      <c r="L43" s="86"/>
      <c r="M43" s="86"/>
      <c r="N43" s="86"/>
      <c r="O43" s="86"/>
      <c r="P43" s="86"/>
      <c r="Q43" s="86"/>
    </row>
    <row r="44" customFormat="false" ht="15" hidden="false" customHeight="true" outlineLevel="0" collapsed="false">
      <c r="B44" s="87" t="s">
        <v>409</v>
      </c>
      <c r="J44" s="87" t="s">
        <v>410</v>
      </c>
    </row>
    <row r="63" customFormat="false" ht="15" hidden="false" customHeight="true" outlineLevel="0" collapsed="false">
      <c r="B63" s="87" t="s">
        <v>411</v>
      </c>
      <c r="J63" s="87" t="s">
        <v>412</v>
      </c>
    </row>
    <row r="82" customFormat="false" ht="15" hidden="false" customHeight="true" outlineLevel="0" collapsed="false">
      <c r="B82" s="87" t="s">
        <v>413</v>
      </c>
      <c r="J82" s="87" t="s">
        <v>414</v>
      </c>
    </row>
    <row r="101" customFormat="false" ht="19.5" hidden="false" customHeight="true" outlineLevel="0" collapsed="false">
      <c r="B101" s="86" t="s">
        <v>415</v>
      </c>
      <c r="C101" s="86"/>
      <c r="D101" s="86"/>
      <c r="E101" s="86"/>
      <c r="F101" s="86"/>
      <c r="G101" s="86"/>
      <c r="H101" s="86"/>
      <c r="I101" s="86"/>
      <c r="J101" s="86"/>
      <c r="K101" s="86"/>
      <c r="L101" s="86"/>
      <c r="M101" s="86"/>
      <c r="N101" s="86"/>
      <c r="O101" s="86"/>
      <c r="P101" s="86"/>
      <c r="Q101" s="86"/>
    </row>
    <row r="102" customFormat="false" ht="15" hidden="false" customHeight="true" outlineLevel="0" collapsed="false">
      <c r="B102" s="87" t="s">
        <v>416</v>
      </c>
      <c r="J102" s="87" t="s">
        <v>417</v>
      </c>
    </row>
    <row r="121" customFormat="false" ht="15" hidden="false" customHeight="true" outlineLevel="0" collapsed="false">
      <c r="B121" s="87" t="s">
        <v>418</v>
      </c>
      <c r="J121" s="87" t="s">
        <v>419</v>
      </c>
    </row>
    <row r="140" customFormat="false" ht="15" hidden="false" customHeight="true" outlineLevel="0" collapsed="false">
      <c r="B140" s="87" t="s">
        <v>420</v>
      </c>
      <c r="J140" s="87" t="s">
        <v>421</v>
      </c>
    </row>
    <row r="159" customFormat="false" ht="15" hidden="false" customHeight="true" outlineLevel="0" collapsed="false">
      <c r="B159" s="87" t="s">
        <v>422</v>
      </c>
      <c r="J159" s="87" t="s">
        <v>423</v>
      </c>
    </row>
    <row r="178" customFormat="false" ht="19.5" hidden="false" customHeight="true" outlineLevel="0" collapsed="false">
      <c r="B178" s="86" t="s">
        <v>424</v>
      </c>
      <c r="C178" s="86"/>
      <c r="D178" s="86"/>
      <c r="E178" s="86"/>
      <c r="F178" s="86"/>
      <c r="G178" s="86"/>
      <c r="H178" s="86"/>
      <c r="I178" s="86"/>
      <c r="J178" s="86"/>
      <c r="K178" s="86"/>
      <c r="L178" s="86"/>
      <c r="M178" s="86"/>
      <c r="N178" s="86"/>
      <c r="O178" s="86"/>
      <c r="P178" s="86"/>
      <c r="Q178" s="86"/>
    </row>
    <row r="179" customFormat="false" ht="15" hidden="false" customHeight="true" outlineLevel="0" collapsed="false">
      <c r="B179" s="87" t="s">
        <v>425</v>
      </c>
      <c r="J179" s="87" t="s">
        <v>426</v>
      </c>
    </row>
    <row r="198" customFormat="false" ht="15" hidden="false" customHeight="true" outlineLevel="0" collapsed="false">
      <c r="B198" s="87" t="s">
        <v>427</v>
      </c>
      <c r="J198" s="87" t="s">
        <v>428</v>
      </c>
    </row>
    <row r="217" customFormat="false" ht="19.5" hidden="false" customHeight="true" outlineLevel="0" collapsed="false">
      <c r="B217" s="86" t="s">
        <v>429</v>
      </c>
      <c r="C217" s="86"/>
      <c r="D217" s="86"/>
      <c r="E217" s="86"/>
      <c r="F217" s="86"/>
      <c r="G217" s="86"/>
      <c r="H217" s="86"/>
      <c r="I217" s="86"/>
      <c r="J217" s="86"/>
      <c r="K217" s="86"/>
      <c r="L217" s="86"/>
      <c r="M217" s="86"/>
      <c r="N217" s="86"/>
      <c r="O217" s="86"/>
      <c r="P217" s="86"/>
      <c r="Q217" s="86"/>
    </row>
    <row r="218" customFormat="false" ht="15" hidden="false" customHeight="true" outlineLevel="0" collapsed="false">
      <c r="B218" s="87" t="s">
        <v>430</v>
      </c>
      <c r="J218" s="87" t="s">
        <v>431</v>
      </c>
    </row>
    <row r="237" customFormat="false" ht="15" hidden="false" customHeight="true" outlineLevel="0" collapsed="false">
      <c r="B237" s="87" t="s">
        <v>432</v>
      </c>
      <c r="J237" s="87" t="s">
        <v>433</v>
      </c>
    </row>
    <row r="256" customFormat="false" ht="15" hidden="false" customHeight="true" outlineLevel="0" collapsed="false">
      <c r="B256" s="87" t="s">
        <v>434</v>
      </c>
      <c r="J256" s="87" t="s">
        <v>435</v>
      </c>
    </row>
    <row r="275" customFormat="false" ht="15" hidden="false" customHeight="true" outlineLevel="0" collapsed="false">
      <c r="B275" s="87" t="s">
        <v>436</v>
      </c>
    </row>
  </sheetData>
  <mergeCells count="7">
    <mergeCell ref="A1:Q1"/>
    <mergeCell ref="A2:Q2"/>
    <mergeCell ref="B4:Q4"/>
    <mergeCell ref="B43:Q43"/>
    <mergeCell ref="B101:Q101"/>
    <mergeCell ref="B178:Q178"/>
    <mergeCell ref="B217:Q2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11" min="2" style="1" width="13.5"/>
  </cols>
  <sheetData>
    <row r="1" customFormat="false" ht="25.5" hidden="false" customHeight="true" outlineLevel="0" collapsed="false">
      <c r="A1" s="88" t="s">
        <v>437</v>
      </c>
    </row>
    <row r="4" customFormat="false" ht="15" hidden="false" customHeight="true" outlineLevel="0" collapsed="false">
      <c r="A4" s="89" t="s">
        <v>438</v>
      </c>
    </row>
    <row r="5" customFormat="false" ht="27.75" hidden="false" customHeight="true" outlineLevel="0" collapsed="false">
      <c r="A5" s="90" t="s">
        <v>439</v>
      </c>
    </row>
    <row r="6" customFormat="false" ht="15" hidden="false" customHeight="true" outlineLevel="0" collapsed="false">
      <c r="A6" s="90" t="s">
        <v>440</v>
      </c>
    </row>
    <row r="7" customFormat="false" ht="15" hidden="false" customHeight="true" outlineLevel="0" collapsed="false">
      <c r="A7" s="90" t="s">
        <v>441</v>
      </c>
    </row>
    <row r="8" customFormat="false" ht="15" hidden="false" customHeight="true" outlineLevel="0" collapsed="false">
      <c r="A8" s="90" t="s">
        <v>442</v>
      </c>
    </row>
    <row r="10" customFormat="false" ht="15" hidden="false" customHeight="true" outlineLevel="0" collapsed="false">
      <c r="A10" s="89" t="s">
        <v>443</v>
      </c>
    </row>
    <row r="11" customFormat="false" ht="15" hidden="false" customHeight="true" outlineLevel="0" collapsed="false">
      <c r="A11" s="90" t="s">
        <v>444</v>
      </c>
    </row>
    <row r="12" customFormat="false" ht="27.75" hidden="false" customHeight="true" outlineLevel="0" collapsed="false">
      <c r="A12" s="90" t="s">
        <v>445</v>
      </c>
    </row>
    <row r="13" customFormat="false" ht="27.75" hidden="false" customHeight="true" outlineLevel="0" collapsed="false">
      <c r="A13" s="90" t="s">
        <v>446</v>
      </c>
    </row>
    <row r="14" customFormat="false" ht="27.75" hidden="false" customHeight="true" outlineLevel="0" collapsed="false">
      <c r="A14" s="90" t="s">
        <v>447</v>
      </c>
    </row>
    <row r="16" customFormat="false" ht="15" hidden="false" customHeight="true" outlineLevel="0" collapsed="false">
      <c r="A16" s="90" t="s">
        <v>448</v>
      </c>
    </row>
    <row r="17" customFormat="false" ht="27.75" hidden="false" customHeight="true" outlineLevel="0" collapsed="false">
      <c r="A17" s="90" t="s">
        <v>449</v>
      </c>
    </row>
    <row r="18" customFormat="false" ht="27.75" hidden="false" customHeight="true" outlineLevel="0" collapsed="false">
      <c r="A18" s="90" t="s">
        <v>450</v>
      </c>
    </row>
    <row r="19" customFormat="false" ht="27.75" hidden="false" customHeight="true" outlineLevel="0" collapsed="false">
      <c r="A19" s="90" t="s">
        <v>451</v>
      </c>
    </row>
    <row r="20" customFormat="false" ht="27.75" hidden="false" customHeight="true" outlineLevel="0" collapsed="false">
      <c r="A20" s="90" t="s">
        <v>452</v>
      </c>
    </row>
    <row r="21" customFormat="false" ht="27.75" hidden="false" customHeight="true" outlineLevel="0" collapsed="false">
      <c r="A21" s="90" t="s">
        <v>453</v>
      </c>
    </row>
    <row r="22" customFormat="false" ht="27.75" hidden="false" customHeight="true" outlineLevel="0" collapsed="false">
      <c r="A22" s="90" t="s">
        <v>454</v>
      </c>
    </row>
    <row r="23" customFormat="false" ht="27.75" hidden="false" customHeight="true" outlineLevel="0" collapsed="false">
      <c r="A23" s="90" t="s">
        <v>455</v>
      </c>
    </row>
    <row r="25" customFormat="false" ht="15" hidden="false" customHeight="true" outlineLevel="0" collapsed="false">
      <c r="A25" s="90" t="s">
        <v>456</v>
      </c>
    </row>
    <row r="26" customFormat="false" ht="27.75" hidden="false" customHeight="true" outlineLevel="0" collapsed="false">
      <c r="A26" s="90" t="s">
        <v>457</v>
      </c>
    </row>
    <row r="27" customFormat="false" ht="27.75" hidden="false" customHeight="true" outlineLevel="0" collapsed="false">
      <c r="A27" s="90" t="s">
        <v>458</v>
      </c>
    </row>
    <row r="28" customFormat="false" ht="27.75" hidden="false" customHeight="true" outlineLevel="0" collapsed="false">
      <c r="A28" s="90" t="s">
        <v>459</v>
      </c>
    </row>
    <row r="29" customFormat="false" ht="15" hidden="false" customHeight="true" outlineLevel="0" collapsed="false">
      <c r="A29" s="90" t="s">
        <v>460</v>
      </c>
    </row>
    <row r="30" customFormat="false" ht="27.75" hidden="false" customHeight="true" outlineLevel="0" collapsed="false">
      <c r="A30" s="90" t="s">
        <v>461</v>
      </c>
    </row>
    <row r="31" customFormat="false" ht="27.75" hidden="false" customHeight="true" outlineLevel="0" collapsed="false">
      <c r="A31" s="90" t="s">
        <v>462</v>
      </c>
    </row>
    <row r="33" customFormat="false" ht="15" hidden="false" customHeight="true" outlineLevel="0" collapsed="false">
      <c r="A33" s="89" t="s">
        <v>463</v>
      </c>
    </row>
    <row r="34" customFormat="false" ht="27.75" hidden="false" customHeight="true" outlineLevel="0" collapsed="false">
      <c r="A34" s="90" t="s">
        <v>464</v>
      </c>
    </row>
    <row r="35" customFormat="false" ht="27.75" hidden="false" customHeight="true" outlineLevel="0" collapsed="false">
      <c r="A35" s="90" t="s">
        <v>465</v>
      </c>
    </row>
    <row r="36" customFormat="false" ht="27.75" hidden="false" customHeight="true" outlineLevel="0" collapsed="false">
      <c r="A36" s="90" t="s">
        <v>466</v>
      </c>
    </row>
    <row r="37" customFormat="false" ht="27.75" hidden="false" customHeight="true" outlineLevel="0" collapsed="false">
      <c r="A37" s="90" t="s">
        <v>467</v>
      </c>
    </row>
    <row r="38" customFormat="false" ht="27.75" hidden="false" customHeight="true" outlineLevel="0" collapsed="false">
      <c r="A38" s="90" t="s">
        <v>468</v>
      </c>
    </row>
    <row r="39" customFormat="false" ht="27.75" hidden="false" customHeight="true" outlineLevel="0" collapsed="false">
      <c r="A39" s="90" t="s">
        <v>469</v>
      </c>
    </row>
    <row r="41" customFormat="false" ht="15" hidden="false" customHeight="true" outlineLevel="0" collapsed="false">
      <c r="A41" s="90" t="s">
        <v>470</v>
      </c>
    </row>
    <row r="42" customFormat="false" ht="27.75" hidden="false" customHeight="true" outlineLevel="0" collapsed="false">
      <c r="A42" s="90" t="s">
        <v>471</v>
      </c>
    </row>
    <row r="43" customFormat="false" ht="27.75" hidden="false" customHeight="true" outlineLevel="0" collapsed="false">
      <c r="A43" s="90" t="s">
        <v>472</v>
      </c>
    </row>
    <row r="44" customFormat="false" ht="15" hidden="false" customHeight="true" outlineLevel="0" collapsed="false">
      <c r="A44" s="90" t="s">
        <v>473</v>
      </c>
    </row>
    <row r="45" customFormat="false" ht="27.75" hidden="false" customHeight="true" outlineLevel="0" collapsed="false">
      <c r="A45" s="90" t="s">
        <v>474</v>
      </c>
    </row>
    <row r="46" customFormat="false" ht="27.75" hidden="false" customHeight="true" outlineLevel="0" collapsed="false">
      <c r="A46" s="90" t="s">
        <v>475</v>
      </c>
    </row>
    <row r="48" customFormat="false" ht="15" hidden="false" customHeight="true" outlineLevel="0" collapsed="false">
      <c r="A48" s="89" t="s">
        <v>476</v>
      </c>
    </row>
    <row r="49" customFormat="false" ht="27.75" hidden="false" customHeight="true" outlineLevel="0" collapsed="false">
      <c r="A49" s="90" t="s">
        <v>477</v>
      </c>
    </row>
    <row r="51" customFormat="false" ht="15" hidden="false" customHeight="true" outlineLevel="0" collapsed="false">
      <c r="A51" s="89" t="s">
        <v>478</v>
      </c>
    </row>
    <row r="52" customFormat="false" ht="27.75" hidden="false" customHeight="true" outlineLevel="0" collapsed="false">
      <c r="A52" s="90" t="s">
        <v>479</v>
      </c>
    </row>
    <row r="54" customFormat="false" ht="15" hidden="false" customHeight="true" outlineLevel="0" collapsed="false">
      <c r="A54" s="89" t="s">
        <v>480</v>
      </c>
    </row>
    <row r="55" customFormat="false" ht="27.75" hidden="false" customHeight="true" outlineLevel="0" collapsed="false">
      <c r="A55" s="90" t="s">
        <v>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2026-09-27T13:27:45Z</dcterms:created>
  <dc:creator>openpyxl</dc:creator>
  <dc:description/>
  <dc:language>en-US</dc:language>
  <cp:lastModifiedBy/>
  <dcterms:modified xsi:type="dcterms:W3CDTF">2026-09-27T16:08:54Z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